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oyo\Downloads\"/>
    </mc:Choice>
  </mc:AlternateContent>
  <xr:revisionPtr revIDLastSave="0" documentId="13_ncr:1_{9FE35ABD-537A-42F5-B7A5-D6390859F42B}" xr6:coauthVersionLast="47" xr6:coauthVersionMax="47" xr10:uidLastSave="{00000000-0000-0000-0000-000000000000}"/>
  <bookViews>
    <workbookView xWindow="-120" yWindow="-120" windowWidth="20730" windowHeight="11040" activeTab="2" xr2:uid="{4597F578-F9DB-4EB9-8EE9-4B051DD81830}"/>
  </bookViews>
  <sheets>
    <sheet name="Nigeria" sheetId="1" r:id="rId1"/>
    <sheet name="Pivot Table" sheetId="4" r:id="rId2"/>
    <sheet name="Dashboard" sheetId="5" r:id="rId3"/>
    <sheet name="Revised Data" sheetId="3" r:id="rId4"/>
  </sheets>
  <calcPr calcId="181029"/>
  <pivotCaches>
    <pivotCache cacheId="0" r:id="rId5"/>
  </pivotCaches>
  <fileRecoveryPr repairLoad="1"/>
</workbook>
</file>

<file path=xl/calcChain.xml><?xml version="1.0" encoding="utf-8"?>
<calcChain xmlns="http://schemas.openxmlformats.org/spreadsheetml/2006/main">
  <c r="BT15" i="3" l="1"/>
  <c r="K2" i="5"/>
  <c r="G2" i="5"/>
  <c r="AB15" i="3"/>
  <c r="W15" i="3"/>
  <c r="B2" i="5"/>
  <c r="O15" i="3"/>
</calcChain>
</file>

<file path=xl/sharedStrings.xml><?xml version="1.0" encoding="utf-8"?>
<sst xmlns="http://schemas.openxmlformats.org/spreadsheetml/2006/main" count="267" uniqueCount="79">
  <si>
    <t>$ millions, unless otherwise indicated</t>
  </si>
  <si>
    <t>Summary external debt data by debtor type</t>
  </si>
  <si>
    <t>Total External debt stocks</t>
  </si>
  <si>
    <t>Use of IMF Credit and SDR allocations</t>
  </si>
  <si>
    <t>Long-term external debt</t>
  </si>
  <si>
    <t>Public and publicly guaranteed sector</t>
  </si>
  <si>
    <t>Public sector</t>
  </si>
  <si>
    <t>of which: General Government</t>
  </si>
  <si>
    <t>Private sector guaranteed by public sector</t>
  </si>
  <si>
    <t>..</t>
  </si>
  <si>
    <t>Private sector not guaranteed</t>
  </si>
  <si>
    <t>Short-term external debt</t>
  </si>
  <si>
    <t>Disbursements (long-term)</t>
  </si>
  <si>
    <t>Principal repayments (long-term)</t>
  </si>
  <si>
    <t>Interest payments (long-term)</t>
  </si>
  <si>
    <t>Summary external debt stock by creditor type</t>
  </si>
  <si>
    <t>Long-term External debt stocks</t>
  </si>
  <si>
    <t>Public and publicly guaranteed debt from:</t>
  </si>
  <si>
    <t>Official creditors</t>
  </si>
  <si>
    <t>Multilateral</t>
  </si>
  <si>
    <t>of which: World Bank</t>
  </si>
  <si>
    <t>Bilateral</t>
  </si>
  <si>
    <t>Private creditors</t>
  </si>
  <si>
    <t>Bondholders</t>
  </si>
  <si>
    <t>Commercial banks and others</t>
  </si>
  <si>
    <t>  Private nonguaranteed debt from:</t>
  </si>
  <si>
    <t>Net financial inflows</t>
  </si>
  <si>
    <t>Net debt inflows</t>
  </si>
  <si>
    <t>Use of IMF Credit</t>
  </si>
  <si>
    <t>Long-term</t>
  </si>
  <si>
    <t>Banks and other private</t>
  </si>
  <si>
    <t>Short-term</t>
  </si>
  <si>
    <t>Net equity inflows</t>
  </si>
  <si>
    <t>Foreign direct investment</t>
  </si>
  <si>
    <t>Portfolio equity</t>
  </si>
  <si>
    <t>Debt ratios</t>
  </si>
  <si>
    <t>External debt stocks to exports (%)</t>
  </si>
  <si>
    <t>External debt stocks to GNI (%)</t>
  </si>
  <si>
    <t>Debt service to exports (%)</t>
  </si>
  <si>
    <t>Short-term to external debt stocks (%)</t>
  </si>
  <si>
    <t>Multilateral to external debt stocks (%)</t>
  </si>
  <si>
    <t>Reserves to external debt stocks (%)</t>
  </si>
  <si>
    <t>Gross national income (GNI)</t>
  </si>
  <si>
    <t>Note: Public and publicly guaranteed does not include the Use of IMF credit and SDR allocations.</t>
  </si>
  <si>
    <t>Table: Country Tables</t>
  </si>
  <si>
    <t>Name: Nigeria</t>
  </si>
  <si>
    <t>International Debt Statistics, 2025, The World Bank</t>
  </si>
  <si>
    <t>Last Updated Date: 12/03/2025</t>
  </si>
  <si>
    <t>Years</t>
  </si>
  <si>
    <t>Private sector guaranteed by public sector4</t>
  </si>
  <si>
    <t>Public sector9</t>
  </si>
  <si>
    <t>of which: General Government10</t>
  </si>
  <si>
    <t>Private sector not guaranteed11</t>
  </si>
  <si>
    <t>Public sector(disbursement)</t>
  </si>
  <si>
    <t>General Government(disbursement)</t>
  </si>
  <si>
    <t>Private sector (disbursements)</t>
  </si>
  <si>
    <t>Public sector(repayments)</t>
  </si>
  <si>
    <t>General Government(repayments)</t>
  </si>
  <si>
    <t>Private sector(repayments)</t>
  </si>
  <si>
    <t>Bondholders(creditors)</t>
  </si>
  <si>
    <t>Bondholders(private debt)</t>
  </si>
  <si>
    <t>Commercial banks(private debt)</t>
  </si>
  <si>
    <t>Official creditors(long-term)</t>
  </si>
  <si>
    <t>Multilateral(long-term)</t>
  </si>
  <si>
    <t>of which: World Bank(long-term)</t>
  </si>
  <si>
    <t>Bilateral(long-term)</t>
  </si>
  <si>
    <t>Private creditors(long-term)</t>
  </si>
  <si>
    <t>Bondholders(long-term)</t>
  </si>
  <si>
    <t>Row Labels</t>
  </si>
  <si>
    <t>Grand Total</t>
  </si>
  <si>
    <t>Sum of Total External debt</t>
  </si>
  <si>
    <t>Sum of Principal repayments (long-term)</t>
  </si>
  <si>
    <t>Disbursements</t>
  </si>
  <si>
    <t>Principal repayments</t>
  </si>
  <si>
    <t>Repayments</t>
  </si>
  <si>
    <t xml:space="preserve">TOTAL EXTERNAL DEBT </t>
  </si>
  <si>
    <t>TOTAL DISBURSEMENTS</t>
  </si>
  <si>
    <t>TOTAL REPAYMENTS</t>
  </si>
  <si>
    <t>TOTAL GROSS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</si>
</sst>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0" fontId="16" fillId="0" borderId="0" xfId="0" applyFon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0"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numFmt numFmtId="4" formatCode="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External debt across 2014-2024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Table'!$G$1</c:f>
              <c:strCache>
                <c:ptCount val="1"/>
                <c:pt idx="0">
                  <c:v>Sum of Total External debt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'Pivot Table'!$F$2:$F$12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'Pivot Table'!$G$2:$G$12</c:f>
              <c:numCache>
                <c:formatCode>#,##0.00</c:formatCode>
                <c:ptCount val="11"/>
                <c:pt idx="0">
                  <c:v>46672.5</c:v>
                </c:pt>
                <c:pt idx="1">
                  <c:v>45024.800000000003</c:v>
                </c:pt>
                <c:pt idx="2">
                  <c:v>43735.9</c:v>
                </c:pt>
                <c:pt idx="3">
                  <c:v>65142.8</c:v>
                </c:pt>
                <c:pt idx="4">
                  <c:v>69440.3</c:v>
                </c:pt>
                <c:pt idx="5">
                  <c:v>81342.8</c:v>
                </c:pt>
                <c:pt idx="6">
                  <c:v>87591.2</c:v>
                </c:pt>
                <c:pt idx="7">
                  <c:v>96254.7</c:v>
                </c:pt>
                <c:pt idx="8">
                  <c:v>103064.2</c:v>
                </c:pt>
                <c:pt idx="9">
                  <c:v>102472.8</c:v>
                </c:pt>
                <c:pt idx="10">
                  <c:v>108757.6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0-4002-8861-E15C3AF2C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47351247"/>
        <c:axId val="1547349807"/>
      </c:lineChart>
      <c:catAx>
        <c:axId val="154735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49807"/>
        <c:crosses val="autoZero"/>
        <c:auto val="1"/>
        <c:lblAlgn val="ctr"/>
        <c:lblOffset val="100"/>
        <c:noMultiLvlLbl val="0"/>
      </c:catAx>
      <c:valAx>
        <c:axId val="1547349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external debt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35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Public vs Private Sector Disbursements </a:t>
            </a:r>
          </a:p>
          <a:p>
            <a:pPr>
              <a:defRPr/>
            </a:pPr>
            <a:r>
              <a:rPr lang="en-US"/>
              <a:t>Across 2014-2024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Table'!$F$14</c:f>
              <c:strCache>
                <c:ptCount val="1"/>
                <c:pt idx="0">
                  <c:v>Public sector(disbursement)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'Pivot Table'!$E$15:$E$25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'Pivot Table'!$F$15:$F$25</c:f>
              <c:numCache>
                <c:formatCode>#,##0.00</c:formatCode>
                <c:ptCount val="11"/>
                <c:pt idx="0">
                  <c:v>1910.1</c:v>
                </c:pt>
                <c:pt idx="1">
                  <c:v>1436.7</c:v>
                </c:pt>
                <c:pt idx="2">
                  <c:v>1145.5999999999999</c:v>
                </c:pt>
                <c:pt idx="3">
                  <c:v>7149.1</c:v>
                </c:pt>
                <c:pt idx="4">
                  <c:v>7371.7</c:v>
                </c:pt>
                <c:pt idx="5">
                  <c:v>2678</c:v>
                </c:pt>
                <c:pt idx="6">
                  <c:v>4378.8</c:v>
                </c:pt>
                <c:pt idx="7">
                  <c:v>6093.2</c:v>
                </c:pt>
                <c:pt idx="8">
                  <c:v>5953</c:v>
                </c:pt>
                <c:pt idx="9">
                  <c:v>5621.8</c:v>
                </c:pt>
                <c:pt idx="10">
                  <c:v>8495.2999999999993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F-4BCF-887B-73F804A05772}"/>
            </c:ext>
          </c:extLst>
        </c:ser>
        <c:ser>
          <c:idx val="1"/>
          <c:order val="1"/>
          <c:tx>
            <c:strRef>
              <c:f>'Pivot Table'!$G$14</c:f>
              <c:strCache>
                <c:ptCount val="1"/>
                <c:pt idx="0">
                  <c:v>Private sector (disbursements)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'Pivot Table'!$E$15:$E$25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'Pivot Table'!$G$15:$G$25</c:f>
              <c:numCache>
                <c:formatCode>#,##0.00</c:formatCode>
                <c:ptCount val="11"/>
                <c:pt idx="0">
                  <c:v>7058</c:v>
                </c:pt>
                <c:pt idx="1">
                  <c:v>2695.7</c:v>
                </c:pt>
                <c:pt idx="2">
                  <c:v>4400.8</c:v>
                </c:pt>
                <c:pt idx="3">
                  <c:v>5138.7</c:v>
                </c:pt>
                <c:pt idx="4">
                  <c:v>4595.8999999999996</c:v>
                </c:pt>
                <c:pt idx="5">
                  <c:v>6516.6</c:v>
                </c:pt>
                <c:pt idx="6">
                  <c:v>3373.4</c:v>
                </c:pt>
                <c:pt idx="7">
                  <c:v>5614.9</c:v>
                </c:pt>
                <c:pt idx="8">
                  <c:v>4114.1000000000004</c:v>
                </c:pt>
                <c:pt idx="9">
                  <c:v>1876.3</c:v>
                </c:pt>
                <c:pt idx="10">
                  <c:v>3428.8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F-4BCF-887B-73F804A05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8056303"/>
        <c:axId val="1778049103"/>
      </c:barChart>
      <c:catAx>
        <c:axId val="177805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49103"/>
        <c:crosses val="autoZero"/>
        <c:auto val="1"/>
        <c:lblAlgn val="ctr"/>
        <c:lblOffset val="100"/>
        <c:noMultiLvlLbl val="0"/>
      </c:catAx>
      <c:valAx>
        <c:axId val="17780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5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Disbursements</a:t>
            </a:r>
            <a:r>
              <a:rPr lang="en-US" baseline="0"/>
              <a:t> vs Repayments </a:t>
            </a:r>
          </a:p>
          <a:p>
            <a:pPr>
              <a:defRPr/>
            </a:pPr>
            <a:r>
              <a:rPr lang="en-US" baseline="0"/>
              <a:t>Across 2014-2024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Table'!$B$15</c:f>
              <c:strCache>
                <c:ptCount val="1"/>
                <c:pt idx="0">
                  <c:v>Disbursements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'Pivot Table'!$A$16:$A$26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'Pivot Table'!$B$16:$B$26</c:f>
              <c:numCache>
                <c:formatCode>#,##0.00</c:formatCode>
                <c:ptCount val="11"/>
                <c:pt idx="0">
                  <c:v>8968</c:v>
                </c:pt>
                <c:pt idx="1">
                  <c:v>4132.5</c:v>
                </c:pt>
                <c:pt idx="2">
                  <c:v>5546.4</c:v>
                </c:pt>
                <c:pt idx="3">
                  <c:v>12287.8</c:v>
                </c:pt>
                <c:pt idx="4">
                  <c:v>11967.5</c:v>
                </c:pt>
                <c:pt idx="5">
                  <c:v>9194.6</c:v>
                </c:pt>
                <c:pt idx="6">
                  <c:v>7752.2</c:v>
                </c:pt>
                <c:pt idx="7">
                  <c:v>11708.1</c:v>
                </c:pt>
                <c:pt idx="8">
                  <c:v>10067.1</c:v>
                </c:pt>
                <c:pt idx="9">
                  <c:v>7498.1</c:v>
                </c:pt>
                <c:pt idx="10">
                  <c:v>11924.1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1-4817-B61C-23C34A44818C}"/>
            </c:ext>
          </c:extLst>
        </c:ser>
        <c:ser>
          <c:idx val="1"/>
          <c:order val="1"/>
          <c:tx>
            <c:strRef>
              <c:f>'Pivot Table'!$C$15</c:f>
              <c:strCache>
                <c:ptCount val="1"/>
                <c:pt idx="0">
                  <c:v>Principal repayments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'Pivot Table'!$A$16:$A$26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'Pivot Table'!$C$16:$C$26</c:f>
              <c:numCache>
                <c:formatCode>#,##0.00</c:formatCode>
                <c:ptCount val="11"/>
                <c:pt idx="0">
                  <c:v>1655.9</c:v>
                </c:pt>
                <c:pt idx="1">
                  <c:v>1567.3</c:v>
                </c:pt>
                <c:pt idx="2">
                  <c:v>4132.8</c:v>
                </c:pt>
                <c:pt idx="3">
                  <c:v>2475.5</c:v>
                </c:pt>
                <c:pt idx="4">
                  <c:v>3722.7</c:v>
                </c:pt>
                <c:pt idx="5">
                  <c:v>4260.3</c:v>
                </c:pt>
                <c:pt idx="6">
                  <c:v>3249.8</c:v>
                </c:pt>
                <c:pt idx="7">
                  <c:v>5845.7</c:v>
                </c:pt>
                <c:pt idx="8">
                  <c:v>5045.8</c:v>
                </c:pt>
                <c:pt idx="9">
                  <c:v>4224.8</c:v>
                </c:pt>
                <c:pt idx="10">
                  <c:v>6952.2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1-4817-B61C-23C34A44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074543"/>
        <c:axId val="1778077423"/>
      </c:barChart>
      <c:catAx>
        <c:axId val="177807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77423"/>
        <c:crosses val="autoZero"/>
        <c:auto val="1"/>
        <c:lblAlgn val="ctr"/>
        <c:lblOffset val="100"/>
        <c:noMultiLvlLbl val="0"/>
      </c:catAx>
      <c:valAx>
        <c:axId val="177807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7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</a:t>
            </a:r>
            <a:r>
              <a:rPr lang="en-US" baseline="0"/>
              <a:t> of Disbursements Against Repayments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Table'!$A$28</c:f>
              <c:strCache>
                <c:ptCount val="1"/>
                <c:pt idx="0">
                  <c:v>Disbursements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'Pivot Table'!$A$29:$A$39</c:f>
              <c:numCache>
                <c:formatCode>#,##0.00</c:formatCode>
                <c:ptCount val="11"/>
                <c:pt idx="0">
                  <c:v>4132.5</c:v>
                </c:pt>
                <c:pt idx="1">
                  <c:v>5546.4</c:v>
                </c:pt>
                <c:pt idx="2">
                  <c:v>7498.1</c:v>
                </c:pt>
                <c:pt idx="3">
                  <c:v>7752.2</c:v>
                </c:pt>
                <c:pt idx="4">
                  <c:v>8968</c:v>
                </c:pt>
                <c:pt idx="5">
                  <c:v>9194.6</c:v>
                </c:pt>
                <c:pt idx="6">
                  <c:v>10067.1</c:v>
                </c:pt>
                <c:pt idx="7">
                  <c:v>11708.1</c:v>
                </c:pt>
                <c:pt idx="8">
                  <c:v>11924.1</c:v>
                </c:pt>
                <c:pt idx="9">
                  <c:v>11967.5</c:v>
                </c:pt>
                <c:pt idx="10">
                  <c:v>12287.8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A-405B-8DD1-251F8C8459BD}"/>
            </c:ext>
          </c:extLst>
        </c:ser>
        <c:ser>
          <c:idx val="1"/>
          <c:order val="1"/>
          <c:tx>
            <c:strRef>
              <c:f>'Pivot Table'!$B$28</c:f>
              <c:strCache>
                <c:ptCount val="1"/>
                <c:pt idx="0">
                  <c:v>Repayments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'Pivot Table'!$B$29:$B$39</c:f>
              <c:numCache>
                <c:formatCode>#,##0.00</c:formatCode>
                <c:ptCount val="11"/>
                <c:pt idx="0">
                  <c:v>1567.3</c:v>
                </c:pt>
                <c:pt idx="1">
                  <c:v>4132.8</c:v>
                </c:pt>
                <c:pt idx="2">
                  <c:v>4224.8</c:v>
                </c:pt>
                <c:pt idx="3">
                  <c:v>3249.8</c:v>
                </c:pt>
                <c:pt idx="4">
                  <c:v>1655.9</c:v>
                </c:pt>
                <c:pt idx="5">
                  <c:v>4260.3</c:v>
                </c:pt>
                <c:pt idx="6">
                  <c:v>5045.8</c:v>
                </c:pt>
                <c:pt idx="7">
                  <c:v>5845.7</c:v>
                </c:pt>
                <c:pt idx="8">
                  <c:v>6952.2</c:v>
                </c:pt>
                <c:pt idx="9">
                  <c:v>3722.7</c:v>
                </c:pt>
                <c:pt idx="10">
                  <c:v>2475.5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A-405B-8DD1-251F8C845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057263"/>
        <c:axId val="1778045743"/>
      </c:lineChart>
      <c:catAx>
        <c:axId val="177805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45743"/>
        <c:crosses val="autoZero"/>
        <c:auto val="1"/>
        <c:lblAlgn val="ctr"/>
        <c:lblOffset val="100"/>
        <c:noMultiLvlLbl val="0"/>
      </c:catAx>
      <c:valAx>
        <c:axId val="17780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0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171450</xdr:rowOff>
    </xdr:from>
    <xdr:to>
      <xdr:col>4</xdr:col>
      <xdr:colOff>333374</xdr:colOff>
      <xdr:row>13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522D5-A557-44A9-88BF-208F495A3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2</xdr:row>
      <xdr:rowOff>85725</xdr:rowOff>
    </xdr:from>
    <xdr:to>
      <xdr:col>10</xdr:col>
      <xdr:colOff>1000126</xdr:colOff>
      <xdr:row>13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F49E6D-8659-4258-91CE-B54689548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1019175</xdr:colOff>
      <xdr:row>2</xdr:row>
      <xdr:rowOff>19050</xdr:rowOff>
    </xdr:from>
    <xdr:to>
      <xdr:col>16</xdr:col>
      <xdr:colOff>419101</xdr:colOff>
      <xdr:row>13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AA34EB-E29B-4C3B-9DB2-1B37112F2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190500</xdr:colOff>
      <xdr:row>12</xdr:row>
      <xdr:rowOff>95250</xdr:rowOff>
    </xdr:from>
    <xdr:to>
      <xdr:col>7</xdr:col>
      <xdr:colOff>76200</xdr:colOff>
      <xdr:row>24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FF7239-EF2A-40B8-9BF7-5AE612678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hswill Diribey" refreshedDate="46200.577983449075" createdVersion="8" refreshedVersion="8" minRefreshableVersion="3" recordCount="11" xr:uid="{A57A80CB-A477-4598-B4BD-E362A7AAABF1}">
  <cacheSource type="worksheet">
    <worksheetSource name="Table2"/>
  </cacheSource>
  <cacheFields count="59">
    <cacheField name="Years" numFmtId="0">
      <sharedItems containsSemiMixedTypes="0" containsString="0" containsNumber="1" containsInteger="1" minValue="2014" maxValue="2024" count="11"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al External debt stocks" numFmtId="4">
      <sharedItems containsSemiMixedTypes="0" containsString="0" containsNumber="1" minValue="43735.9" maxValue="108757.6"/>
    </cacheField>
    <cacheField name="Use of IMF Credit and SDR allocations" numFmtId="4">
      <sharedItems containsSemiMixedTypes="0" containsString="0" containsNumber="1" minValue="2252.3000000000002" maxValue="9072.7000000000007" count="11">
        <n v="2427.3000000000002"/>
        <n v="2321.6"/>
        <n v="2252.3000000000002"/>
        <n v="2386"/>
        <n v="2330.1"/>
        <n v="2316.8000000000002"/>
        <n v="5948.1"/>
        <n v="9072.7000000000007"/>
        <n v="8627.1"/>
        <n v="7874"/>
        <n v="6053.2"/>
      </sharedItems>
    </cacheField>
    <cacheField name="Long-term external debt" numFmtId="4">
      <sharedItems containsSemiMixedTypes="0" containsString="0" containsNumber="1" minValue="31603.1" maxValue="80477.399999999994" count="11">
        <n v="31603.1"/>
        <n v="33857.599999999999"/>
        <n v="34956.199999999997"/>
        <n v="45285"/>
        <n v="53312"/>
        <n v="58167.6"/>
        <n v="63219.4"/>
        <n v="68607.8"/>
        <n v="72935.199999999997"/>
        <n v="76305"/>
        <n v="80477.399999999994"/>
      </sharedItems>
    </cacheField>
    <cacheField name="Public sector" numFmtId="4">
      <sharedItems containsSemiMixedTypes="0" containsString="0" containsNumber="1" minValue="9666.2000000000007" maxValue="50191.5"/>
    </cacheField>
    <cacheField name="of which: General Government" numFmtId="4">
      <sharedItems containsSemiMixedTypes="0" containsString="0" containsNumber="1" minValue="9590.4" maxValue="44637.7"/>
    </cacheField>
    <cacheField name="Private sector guaranteed by public sector" numFmtId="0">
      <sharedItems/>
    </cacheField>
    <cacheField name="Private sector not guaranteed" numFmtId="4">
      <sharedItems containsSemiMixedTypes="0" containsString="0" containsNumber="1" minValue="21936.9" maxValue="32953.9"/>
    </cacheField>
    <cacheField name="Short-term external debt" numFmtId="4">
      <sharedItems containsSemiMixedTypes="0" containsString="0" containsNumber="1" minValue="6527.5" maxValue="22227" count="11">
        <n v="12642.1"/>
        <n v="8845.6"/>
        <n v="6527.5"/>
        <n v="17471.8"/>
        <n v="13798.2"/>
        <n v="20858.400000000001"/>
        <n v="18423.8"/>
        <n v="18574.2"/>
        <n v="21502"/>
        <n v="18293.8"/>
        <n v="22227"/>
      </sharedItems>
    </cacheField>
    <cacheField name="Disbursements (long-term)" numFmtId="4">
      <sharedItems containsSemiMixedTypes="0" containsString="0" containsNumber="1" minValue="4132.5" maxValue="12287.8" count="11">
        <n v="8968"/>
        <n v="4132.5"/>
        <n v="5546.4"/>
        <n v="12287.8"/>
        <n v="11967.5"/>
        <n v="9194.6"/>
        <n v="7752.2"/>
        <n v="11708.1"/>
        <n v="10067.1"/>
        <n v="7498.1"/>
        <n v="11924.1"/>
      </sharedItems>
    </cacheField>
    <cacheField name="Public sector(disbursement)" numFmtId="4">
      <sharedItems containsSemiMixedTypes="0" containsString="0" containsNumber="1" minValue="1145.5999999999999" maxValue="8495.2999999999993"/>
    </cacheField>
    <cacheField name="General Government(disbursement)" numFmtId="4">
      <sharedItems containsSemiMixedTypes="0" containsString="0" containsNumber="1" minValue="1092.9000000000001" maxValue="7298.2"/>
    </cacheField>
    <cacheField name="Private sector guaranteed by public sector4" numFmtId="0">
      <sharedItems containsSemiMixedTypes="0" containsString="0" containsNumber="1" containsInteger="1" minValue="0" maxValue="0"/>
    </cacheField>
    <cacheField name="Private sector (disbursements)" numFmtId="4">
      <sharedItems containsSemiMixedTypes="0" containsString="0" containsNumber="1" minValue="1876.3" maxValue="7058"/>
    </cacheField>
    <cacheField name="Principal repayments (long-term)" numFmtId="4">
      <sharedItems containsSemiMixedTypes="0" containsString="0" containsNumber="1" minValue="1567.3" maxValue="6952.2"/>
    </cacheField>
    <cacheField name="Public sector(repayments)" numFmtId="0">
      <sharedItems containsSemiMixedTypes="0" containsString="0" containsNumber="1" minValue="114.8" maxValue="1779.6"/>
    </cacheField>
    <cacheField name="General Government(repayments)" numFmtId="0">
      <sharedItems containsSemiMixedTypes="0" containsString="0" containsNumber="1" minValue="114.8" maxValue="1282.3"/>
    </cacheField>
    <cacheField name="Private sector(repayments)" numFmtId="4">
      <sharedItems containsSemiMixedTypes="0" containsString="0" containsNumber="1" minValue="1452.5" maxValue="5291.6"/>
    </cacheField>
    <cacheField name="Interest payments (long-term)" numFmtId="0">
      <sharedItems containsSemiMixedTypes="0" containsString="0" containsNumber="1" minValue="411" maxValue="3313.6"/>
    </cacheField>
    <cacheField name="Public and publicly guaranteed sector" numFmtId="0">
      <sharedItems containsSemiMixedTypes="0" containsString="0" containsNumber="1" minValue="126.1" maxValue="2199.3000000000002"/>
    </cacheField>
    <cacheField name="Public sector9" numFmtId="0">
      <sharedItems containsSemiMixedTypes="0" containsString="0" containsNumber="1" minValue="126.1" maxValue="2199.3000000000002"/>
    </cacheField>
    <cacheField name="of which: General Government10" numFmtId="0">
      <sharedItems containsSemiMixedTypes="0" containsString="0" containsNumber="1" minValue="125.9" maxValue="1849.9"/>
    </cacheField>
    <cacheField name="Private sector not guaranteed11" numFmtId="0">
      <sharedItems containsSemiMixedTypes="0" containsString="0" containsNumber="1" minValue="284.8" maxValue="1308"/>
    </cacheField>
    <cacheField name="Summary external debt stock by creditor type" numFmtId="0">
      <sharedItems containsNonDate="0" containsString="0" containsBlank="1"/>
    </cacheField>
    <cacheField name="Long-term External debt stocks" numFmtId="4">
      <sharedItems containsSemiMixedTypes="0" containsString="0" containsNumber="1" minValue="31603.1" maxValue="80477.399999999994"/>
    </cacheField>
    <cacheField name="Public and publicly guaranteed debt from:" numFmtId="4">
      <sharedItems containsSemiMixedTypes="0" containsString="0" containsNumber="1" minValue="9666.2000000000007" maxValue="50191.5"/>
    </cacheField>
    <cacheField name="Official creditors" numFmtId="4">
      <sharedItems containsSemiMixedTypes="0" containsString="0" containsNumber="1" minValue="8166.2" maxValue="29897.8"/>
    </cacheField>
    <cacheField name="Multilateral" numFmtId="4">
      <sharedItems containsSemiMixedTypes="0" containsString="0" containsNumber="1" minValue="6727.3" maxValue="23800.2"/>
    </cacheField>
    <cacheField name="of which: World Bank" numFmtId="4">
      <sharedItems containsSemiMixedTypes="0" containsString="0" containsNumber="1" minValue="5778.8" maxValue="17843.099999999999"/>
    </cacheField>
    <cacheField name="Bilateral" numFmtId="4">
      <sharedItems containsSemiMixedTypes="0" containsString="0" containsNumber="1" minValue="1438.8" maxValue="6097.6"/>
    </cacheField>
    <cacheField name="Private creditors" numFmtId="4">
      <sharedItems containsSemiMixedTypes="0" containsString="0" containsNumber="1" minValue="1500" maxValue="20293.7"/>
    </cacheField>
    <cacheField name="Bondholders(creditors)" numFmtId="4">
      <sharedItems containsSemiMixedTypes="0" containsString="0" containsNumber="1" minValue="1500" maxValue="18045.599999999999"/>
    </cacheField>
    <cacheField name="Commercial banks and others" numFmtId="0">
      <sharedItems containsSemiMixedTypes="0" containsString="0" containsNumber="1" minValue="0" maxValue="2371.1999999999998"/>
    </cacheField>
    <cacheField name="  Private nonguaranteed debt from:" numFmtId="4">
      <sharedItems containsSemiMixedTypes="0" containsString="0" containsNumber="1" minValue="21936.9" maxValue="32953.9"/>
    </cacheField>
    <cacheField name="Bondholders(private debt)" numFmtId="4">
      <sharedItems containsSemiMixedTypes="0" containsString="0" containsNumber="1" minValue="4200" maxValue="6942.3"/>
    </cacheField>
    <cacheField name="Commercial banks(private debt)" numFmtId="4">
      <sharedItems containsSemiMixedTypes="0" containsString="0" containsNumber="1" minValue="17461.900000000001" maxValue="28403.9"/>
    </cacheField>
    <cacheField name="Net financial inflows" numFmtId="0">
      <sharedItems containsNonDate="0" containsString="0" containsBlank="1"/>
    </cacheField>
    <cacheField name="Net debt inflows" numFmtId="0">
      <sharedItems containsNonDate="0" containsString="0" containsBlank="1"/>
    </cacheField>
    <cacheField name="Use of IMF Credit" numFmtId="0">
      <sharedItems containsSemiMixedTypes="0" containsString="0" containsNumber="1" minValue="-1629.3" maxValue="3419.3"/>
    </cacheField>
    <cacheField name="Long-term" numFmtId="4">
      <sharedItems containsSemiMixedTypes="0" containsString="0" containsNumber="1" minValue="1413.6" maxValue="9812.2999999999993"/>
    </cacheField>
    <cacheField name="Official creditors(long-term)" numFmtId="0">
      <sharedItems containsSemiMixedTypes="0" containsString="0" containsNumber="1" minValue="965.8" maxValue="4822.8999999999996"/>
    </cacheField>
    <cacheField name="Multilateral(long-term)" numFmtId="0">
      <sharedItems containsSemiMixedTypes="0" containsString="0" containsNumber="1" minValue="715.1" maxValue="3907.1"/>
    </cacheField>
    <cacheField name="of which: World Bank(long-term)" numFmtId="0">
      <sharedItems containsSemiMixedTypes="0" containsString="0" containsNumber="1" minValue="650.1" maxValue="2675.9"/>
    </cacheField>
    <cacheField name="Bilateral(long-term)" numFmtId="0">
      <sharedItems containsSemiMixedTypes="0" containsString="0" containsNumber="1" minValue="112.7" maxValue="915.8"/>
    </cacheField>
    <cacheField name="Private creditors(long-term)" numFmtId="0">
      <sharedItems containsSemiMixedTypes="0" containsString="0" containsNumber="1" minValue="-1549.6" maxValue="7600.5"/>
    </cacheField>
    <cacheField name="Bondholders(long-term)" numFmtId="0">
      <sharedItems containsSemiMixedTypes="0" containsString="0" containsNumber="1" minValue="-850" maxValue="5800"/>
    </cacheField>
    <cacheField name="Banks and other private" numFmtId="0">
      <sharedItems containsSemiMixedTypes="0" containsString="0" containsNumber="1" minValue="-699.6" maxValue="3400"/>
    </cacheField>
    <cacheField name="Short-term" numFmtId="0">
      <sharedItems containsSemiMixedTypes="0" containsString="0" containsNumber="1" minValue="-3796.1" maxValue="10944.4"/>
    </cacheField>
    <cacheField name="Net equity inflows" numFmtId="0">
      <sharedItems containsNonDate="0" containsString="0" containsBlank="1"/>
    </cacheField>
    <cacheField name="Foreign direct investment" numFmtId="0">
      <sharedItems containsSemiMixedTypes="0" containsString="0" containsNumber="1" minValue="-563.29999999999995" maxValue="4680.8"/>
    </cacheField>
    <cacheField name="Portfolio equity" numFmtId="0">
      <sharedItems containsSemiMixedTypes="0" containsString="0" containsNumber="1" minValue="-1548.5" maxValue="1917"/>
    </cacheField>
    <cacheField name="Debt ratios" numFmtId="0">
      <sharedItems containsNonDate="0" containsString="0" containsBlank="1"/>
    </cacheField>
    <cacheField name="External debt stocks to exports (%)" numFmtId="0">
      <sharedItems containsSemiMixedTypes="0" containsString="0" containsNumber="1" minValue="54.1" maxValue="210.4"/>
    </cacheField>
    <cacheField name="External debt stocks to GNI (%)" numFmtId="0">
      <sharedItems containsSemiMixedTypes="0" containsString="0" containsNumber="1" minValue="8.4" maxValue="60"/>
    </cacheField>
    <cacheField name="Debt service to exports (%)" numFmtId="0">
      <sharedItems containsSemiMixedTypes="0" containsString="0" containsNumber="1" minValue="2.7" maxValue="21.9"/>
    </cacheField>
    <cacheField name="Short-term to external debt stocks (%)" numFmtId="0">
      <sharedItems containsSemiMixedTypes="0" containsString="0" containsNumber="1" minValue="14.9" maxValue="27.1"/>
    </cacheField>
    <cacheField name="Multilateral to external debt stocks (%)" numFmtId="0">
      <sharedItems containsSemiMixedTypes="0" containsString="0" containsNumber="1" minValue="14.4" maxValue="21.9"/>
    </cacheField>
    <cacheField name="Reserves to external debt stocks (%)" numFmtId="0">
      <sharedItems containsSemiMixedTypes="0" containsString="0" containsNumber="1" minValue="32.6" maxValue="73.400000000000006"/>
    </cacheField>
    <cacheField name="Gross national income (GNI)" numFmtId="4">
      <sharedItems containsSemiMixedTypes="0" containsString="0" containsNumber="1" minValue="181127.7" maxValue="555021.6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46672.5"/>
    <x v="0"/>
    <x v="0"/>
    <n v="9666.2000000000007"/>
    <n v="9590.4"/>
    <s v=".."/>
    <n v="21936.9"/>
    <x v="0"/>
    <x v="0"/>
    <n v="1910.1"/>
    <n v="1829.9"/>
    <n v="0"/>
    <n v="7058"/>
    <n v="1655.9"/>
    <n v="137.9"/>
    <n v="137.9"/>
    <n v="1518"/>
    <n v="411"/>
    <n v="126.1"/>
    <n v="126.1"/>
    <n v="125.9"/>
    <n v="284.8"/>
    <m/>
    <n v="31603.1"/>
    <n v="9666.2000000000007"/>
    <n v="8166.2"/>
    <n v="6727.3"/>
    <n v="5778.8"/>
    <n v="1438.8"/>
    <n v="1500"/>
    <n v="1500"/>
    <n v="0"/>
    <n v="21936.9"/>
    <n v="4475"/>
    <n v="17461.900000000001"/>
    <m/>
    <m/>
    <n v="0"/>
    <n v="7312.2"/>
    <n v="1272.2"/>
    <n v="878.8"/>
    <n v="857.7"/>
    <n v="393.4"/>
    <n v="6040"/>
    <n v="2850"/>
    <n v="3190"/>
    <n v="-2699.8"/>
    <m/>
    <n v="4680.8"/>
    <n v="1045"/>
    <m/>
    <n v="54.1"/>
    <n v="8.4"/>
    <n v="2.7"/>
    <n v="27.1"/>
    <n v="14.4"/>
    <n v="73.400000000000006"/>
    <n v="555021.69999999995"/>
  </r>
  <r>
    <x v="1"/>
    <n v="45024.800000000003"/>
    <x v="1"/>
    <x v="1"/>
    <n v="10677.5"/>
    <n v="10464"/>
    <s v=".."/>
    <n v="23180.2"/>
    <x v="1"/>
    <x v="1"/>
    <n v="1436.7"/>
    <n v="1293.8"/>
    <n v="0"/>
    <n v="2695.7"/>
    <n v="1567.3"/>
    <n v="114.8"/>
    <n v="114.8"/>
    <n v="1452.5"/>
    <n v="651.70000000000005"/>
    <n v="282.39999999999998"/>
    <n v="282.39999999999998"/>
    <n v="281.5"/>
    <n v="369.3"/>
    <m/>
    <n v="33857.599999999999"/>
    <n v="10677.5"/>
    <n v="9177.5"/>
    <n v="7494.8"/>
    <n v="6225.9"/>
    <n v="1682.7"/>
    <n v="1500"/>
    <n v="1500"/>
    <n v="0"/>
    <n v="23180.2"/>
    <n v="5275"/>
    <n v="17905.2"/>
    <m/>
    <m/>
    <n v="0"/>
    <n v="2565.1999999999998"/>
    <n v="1322"/>
    <n v="1077.0999999999999"/>
    <n v="725.7"/>
    <n v="244.9"/>
    <n v="1243.2"/>
    <n v="800"/>
    <n v="443.2"/>
    <n v="-3796.1"/>
    <m/>
    <n v="3059.9"/>
    <n v="-476.6"/>
    <m/>
    <n v="90.1"/>
    <n v="9.4"/>
    <n v="4.8"/>
    <n v="19.600000000000001"/>
    <n v="16.600000000000001"/>
    <n v="62.8"/>
    <n v="480318.9"/>
  </r>
  <r>
    <x v="2"/>
    <n v="43735.9"/>
    <x v="2"/>
    <x v="2"/>
    <n v="11328.3"/>
    <n v="11070.6"/>
    <s v=".."/>
    <n v="23627.9"/>
    <x v="2"/>
    <x v="2"/>
    <n v="1145.5999999999999"/>
    <n v="1092.9000000000001"/>
    <n v="0"/>
    <n v="4400.8"/>
    <n v="4132.8"/>
    <n v="179.8"/>
    <n v="179.8"/>
    <n v="3953"/>
    <n v="817.7"/>
    <n v="175"/>
    <n v="175"/>
    <n v="173.2"/>
    <n v="642.70000000000005"/>
    <m/>
    <n v="34956.199999999997"/>
    <n v="11328.3"/>
    <n v="9828.2999999999993"/>
    <n v="7893"/>
    <n v="6640"/>
    <n v="1935.2"/>
    <n v="1500"/>
    <n v="1500"/>
    <n v="0"/>
    <n v="23627.9"/>
    <n v="5942.3"/>
    <n v="17685.599999999999"/>
    <m/>
    <m/>
    <n v="0"/>
    <n v="1413.6"/>
    <n v="965.8"/>
    <n v="715.1"/>
    <n v="650.1"/>
    <n v="250.7"/>
    <n v="447.8"/>
    <n v="667.3"/>
    <n v="-219.5"/>
    <n v="-2318.1"/>
    <m/>
    <n v="2133.6"/>
    <n v="325.10000000000002"/>
    <m/>
    <n v="110.2"/>
    <n v="11"/>
    <n v="12.8"/>
    <n v="14.9"/>
    <n v="18"/>
    <n v="62.3"/>
    <n v="398387.9"/>
  </r>
  <r>
    <x v="3"/>
    <n v="65142.8"/>
    <x v="3"/>
    <x v="3"/>
    <n v="18856.599999999999"/>
    <n v="18530.7"/>
    <s v=".."/>
    <n v="26428.400000000001"/>
    <x v="3"/>
    <x v="3"/>
    <n v="7149.1"/>
    <n v="7097.5"/>
    <n v="0"/>
    <n v="5138.7"/>
    <n v="2475.5"/>
    <n v="137.30000000000001"/>
    <n v="137.30000000000001"/>
    <n v="2338.1999999999998"/>
    <n v="1048.8"/>
    <n v="206.7"/>
    <n v="206.7"/>
    <n v="204.6"/>
    <n v="842.2"/>
    <m/>
    <n v="45285"/>
    <n v="18856.599999999999"/>
    <n v="12556.6"/>
    <n v="10137"/>
    <n v="7913"/>
    <n v="2419.6"/>
    <n v="6300"/>
    <n v="6300"/>
    <n v="0"/>
    <n v="26428.400000000001"/>
    <n v="6942.3"/>
    <n v="19486.099999999999"/>
    <m/>
    <m/>
    <n v="0"/>
    <n v="9812.2999999999993"/>
    <n v="2211.8000000000002"/>
    <n v="1731.4"/>
    <n v="858.2"/>
    <n v="480.4"/>
    <n v="7600.5"/>
    <n v="5800"/>
    <n v="1800.5"/>
    <n v="10944.4"/>
    <m/>
    <n v="1150"/>
    <n v="1360.4"/>
    <m/>
    <n v="124.5"/>
    <n v="17.7"/>
    <n v="7.4"/>
    <n v="26.8"/>
    <n v="15.6"/>
    <n v="60.8"/>
    <n v="367400.1"/>
  </r>
  <r>
    <x v="4"/>
    <n v="69440.3"/>
    <x v="4"/>
    <x v="4"/>
    <n v="25275.3"/>
    <n v="24883.9"/>
    <s v=".."/>
    <n v="28036.7"/>
    <x v="4"/>
    <x v="4"/>
    <n v="7371.7"/>
    <n v="7298.2"/>
    <n v="0"/>
    <n v="4595.8999999999996"/>
    <n v="3722.7"/>
    <n v="735.2"/>
    <n v="735.2"/>
    <n v="2987.6"/>
    <n v="1745.7"/>
    <n v="698.5"/>
    <n v="698.5"/>
    <n v="696"/>
    <n v="1047.2"/>
    <m/>
    <n v="53312"/>
    <n v="25275.3"/>
    <n v="14106.9"/>
    <n v="10971.9"/>
    <n v="8557"/>
    <n v="3135"/>
    <n v="11168.4"/>
    <n v="11168.4"/>
    <n v="0"/>
    <n v="28036.7"/>
    <n v="6017.3"/>
    <n v="22019.4"/>
    <m/>
    <m/>
    <n v="0"/>
    <n v="8244.7999999999993"/>
    <n v="1768.2"/>
    <n v="1053.5"/>
    <n v="850.5"/>
    <n v="714.6"/>
    <n v="6476.6"/>
    <n v="3943.4"/>
    <n v="2533.3000000000002"/>
    <n v="-3673.6"/>
    <m/>
    <n v="-563.29999999999995"/>
    <n v="1259.2"/>
    <m/>
    <n v="102"/>
    <n v="16.899999999999999"/>
    <n v="8.5"/>
    <n v="19.899999999999999"/>
    <n v="15.8"/>
    <n v="61.7"/>
    <n v="410486.9"/>
  </r>
  <r>
    <x v="5"/>
    <n v="81342.8"/>
    <x v="5"/>
    <x v="5"/>
    <n v="27579.5"/>
    <n v="27179.3"/>
    <s v=".."/>
    <n v="30588.1"/>
    <x v="5"/>
    <x v="5"/>
    <n v="2678"/>
    <n v="2666.7"/>
    <n v="0"/>
    <n v="6516.6"/>
    <n v="4260.3"/>
    <n v="295.2"/>
    <n v="295.2"/>
    <n v="3965.1"/>
    <n v="2094.1999999999998"/>
    <n v="1095.2"/>
    <n v="1095.2"/>
    <n v="1092.2"/>
    <n v="999"/>
    <m/>
    <n v="58167.6"/>
    <n v="27579.5"/>
    <n v="16411.099999999999"/>
    <n v="12564.8"/>
    <n v="9959.2000000000007"/>
    <n v="3846.3"/>
    <n v="11168.4"/>
    <n v="11168.4"/>
    <n v="0"/>
    <n v="30588.1"/>
    <n v="6367.3"/>
    <n v="24220.799999999999"/>
    <m/>
    <m/>
    <n v="0"/>
    <n v="4934.2"/>
    <n v="2382.8000000000002"/>
    <n v="1671.7"/>
    <n v="1475"/>
    <n v="711.1"/>
    <n v="2551.4"/>
    <n v="350"/>
    <n v="2201.4"/>
    <n v="7060.2"/>
    <m/>
    <n v="851.2"/>
    <n v="-1548.5"/>
    <m/>
    <n v="112.6"/>
    <n v="17.5"/>
    <n v="9.1999999999999993"/>
    <n v="25.6"/>
    <n v="15.4"/>
    <n v="48.4"/>
    <n v="465356.5"/>
  </r>
  <r>
    <x v="6"/>
    <n v="87591.2"/>
    <x v="6"/>
    <x v="6"/>
    <n v="32057.3"/>
    <n v="29244.1"/>
    <s v=".."/>
    <n v="31162.1"/>
    <x v="6"/>
    <x v="6"/>
    <n v="4378.8"/>
    <n v="2072.8000000000002"/>
    <n v="0"/>
    <n v="3373.4"/>
    <n v="3249.8"/>
    <n v="450.9"/>
    <n v="450.9"/>
    <n v="2798.9"/>
    <n v="1948.6"/>
    <n v="1115"/>
    <n v="1115"/>
    <n v="1111.9000000000001"/>
    <n v="833.6"/>
    <m/>
    <n v="63219.4"/>
    <n v="32057.3"/>
    <n v="18517.7"/>
    <n v="14327.7"/>
    <n v="11415.2"/>
    <n v="4190"/>
    <n v="13539.6"/>
    <n v="11168.4"/>
    <n v="2371.1999999999998"/>
    <n v="31162.1"/>
    <n v="5817.3"/>
    <n v="25344.799999999999"/>
    <m/>
    <m/>
    <n v="3419.3"/>
    <n v="4502.3999999999996"/>
    <n v="1652.4"/>
    <n v="1327.5"/>
    <n v="1058.2"/>
    <n v="325"/>
    <n v="2850"/>
    <n v="-550"/>
    <n v="3400"/>
    <n v="-2434.6999999999998"/>
    <m/>
    <n v="929.9"/>
    <n v="-255.2"/>
    <m/>
    <n v="210.4"/>
    <n v="20.5"/>
    <n v="13.1"/>
    <n v="21"/>
    <n v="16.399999999999999"/>
    <n v="43.1"/>
    <n v="427431.9"/>
  </r>
  <r>
    <x v="7"/>
    <n v="96254.7"/>
    <x v="7"/>
    <x v="7"/>
    <n v="36149.5"/>
    <n v="33957.9"/>
    <s v=".."/>
    <n v="32458.3"/>
    <x v="7"/>
    <x v="7"/>
    <n v="6093.2"/>
    <n v="6093.2"/>
    <n v="0"/>
    <n v="5614.9"/>
    <n v="5845.7"/>
    <n v="1527.2"/>
    <n v="1011.1"/>
    <n v="4318.5"/>
    <n v="1862"/>
    <n v="1118.5"/>
    <n v="1118.5"/>
    <n v="1110"/>
    <n v="743.5"/>
    <m/>
    <n v="68607.8"/>
    <n v="36149.5"/>
    <n v="19719"/>
    <n v="15260.7"/>
    <n v="12310.4"/>
    <n v="4458.3999999999996"/>
    <n v="16430.5"/>
    <n v="14668.4"/>
    <n v="1762.1"/>
    <n v="32458.3"/>
    <n v="5900"/>
    <n v="26558.3"/>
    <m/>
    <m/>
    <n v="0"/>
    <n v="5862.4"/>
    <n v="1582.1"/>
    <n v="1290.0999999999999"/>
    <n v="1228.4000000000001"/>
    <n v="291.89999999999998"/>
    <n v="4280.3"/>
    <n v="3582.7"/>
    <n v="697.6"/>
    <n v="150.4"/>
    <m/>
    <n v="2447.5"/>
    <n v="71.599999999999994"/>
    <m/>
    <n v="182.5"/>
    <n v="22.3"/>
    <n v="15.1"/>
    <n v="19.3"/>
    <n v="15.9"/>
    <n v="43.4"/>
    <n v="432250.7"/>
  </r>
  <r>
    <x v="8"/>
    <n v="103064.2"/>
    <x v="8"/>
    <x v="8"/>
    <n v="39981.300000000003"/>
    <n v="37611.1"/>
    <s v=".."/>
    <n v="32953.9"/>
    <x v="8"/>
    <x v="8"/>
    <n v="5953"/>
    <n v="5215.6000000000004"/>
    <n v="0"/>
    <n v="4114.1000000000004"/>
    <n v="5045.8"/>
    <n v="1427.4"/>
    <n v="941.2"/>
    <n v="3618.4"/>
    <n v="2349.9"/>
    <n v="1485.1"/>
    <n v="1485.1"/>
    <n v="1476.8"/>
    <n v="864.8"/>
    <m/>
    <n v="72935.199999999997"/>
    <n v="39981.300000000003"/>
    <n v="22138.6"/>
    <n v="17022"/>
    <n v="13995.8"/>
    <n v="5116.6000000000004"/>
    <n v="17842.7"/>
    <n v="16365"/>
    <n v="1477.7"/>
    <n v="32953.9"/>
    <n v="4550"/>
    <n v="28403.9"/>
    <m/>
    <m/>
    <n v="0"/>
    <n v="5021.3"/>
    <n v="3062"/>
    <n v="2368.6"/>
    <n v="2269.4"/>
    <n v="693.4"/>
    <n v="1959.3"/>
    <n v="337.4"/>
    <n v="1621.9"/>
    <n v="2927.8"/>
    <m/>
    <n v="-227.6"/>
    <n v="293.5"/>
    <m/>
    <n v="145.69999999999999"/>
    <n v="22.2"/>
    <n v="12"/>
    <n v="20.9"/>
    <n v="16.5"/>
    <n v="35.700000000000003"/>
    <n v="464530.8"/>
  </r>
  <r>
    <x v="9"/>
    <n v="102472.8"/>
    <x v="9"/>
    <x v="9"/>
    <n v="44039.9"/>
    <n v="39868.800000000003"/>
    <s v=".."/>
    <n v="32265.200000000001"/>
    <x v="9"/>
    <x v="9"/>
    <n v="5621.8"/>
    <n v="3371.8"/>
    <n v="0"/>
    <n v="1876.3"/>
    <n v="4224.8"/>
    <n v="1779.6"/>
    <n v="1282.3"/>
    <n v="2445.1999999999998"/>
    <n v="3095.8"/>
    <n v="1787.8"/>
    <n v="1787.8"/>
    <n v="1671.2"/>
    <n v="1308"/>
    <m/>
    <n v="76305"/>
    <n v="44039.9"/>
    <n v="27133.1"/>
    <n v="21096.5"/>
    <n v="15611.4"/>
    <n v="6036.6"/>
    <n v="16906.8"/>
    <n v="15891.9"/>
    <n v="1014.9"/>
    <n v="32265.200000000001"/>
    <n v="4200"/>
    <n v="28065.200000000001"/>
    <m/>
    <m/>
    <n v="-818.6"/>
    <n v="3273.3"/>
    <n v="4822.8999999999996"/>
    <n v="3907.1"/>
    <n v="1490.6"/>
    <n v="915.8"/>
    <n v="-1549.6"/>
    <n v="-850"/>
    <n v="-699.6"/>
    <n v="-3217.3"/>
    <m/>
    <n v="1692.4"/>
    <n v="1588.3"/>
    <m/>
    <n v="163.4"/>
    <n v="29"/>
    <n v="15.4"/>
    <n v="17.899999999999999"/>
    <n v="20.6"/>
    <n v="32.6"/>
    <n v="352906.1"/>
  </r>
  <r>
    <x v="10"/>
    <n v="108757.6"/>
    <x v="10"/>
    <x v="10"/>
    <n v="50191.5"/>
    <n v="44637.7"/>
    <s v=".."/>
    <n v="30285.9"/>
    <x v="10"/>
    <x v="10"/>
    <n v="8495.2999999999993"/>
    <n v="6460.6"/>
    <n v="0"/>
    <n v="3428.8"/>
    <n v="6952.2"/>
    <n v="1660.6"/>
    <n v="1161.5"/>
    <n v="5291.6"/>
    <n v="3313.6"/>
    <n v="2199.3000000000002"/>
    <n v="2199.3000000000002"/>
    <n v="1849.9"/>
    <n v="1114.3"/>
    <m/>
    <n v="80477.399999999994"/>
    <n v="50191.5"/>
    <n v="29897.8"/>
    <n v="23800.2"/>
    <n v="17843.099999999999"/>
    <n v="6097.6"/>
    <n v="20293.7"/>
    <n v="18045.599999999999"/>
    <n v="2248.1999999999998"/>
    <n v="30285.9"/>
    <n v="4200"/>
    <n v="26085.9"/>
    <m/>
    <m/>
    <n v="-1629.3"/>
    <n v="4971.8999999999996"/>
    <n v="3303.7"/>
    <n v="3191.1"/>
    <n v="2675.9"/>
    <n v="112.7"/>
    <n v="1668.1"/>
    <n v="2200"/>
    <n v="-531.9"/>
    <n v="3942.3"/>
    <m/>
    <n v="1412"/>
    <n v="1917"/>
    <m/>
    <n v="177.1"/>
    <n v="60"/>
    <n v="21.9"/>
    <n v="20.399999999999999"/>
    <n v="21.9"/>
    <n v="37.200000000000003"/>
    <n v="1811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D9043-A14D-4204-A084-DE6C78E135F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3" firstHeaderRow="1" firstDataRow="1" firstDataCol="1"/>
  <pivotFields count="59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4" showAll="0"/>
    <pivotField numFmtId="4" showAll="0">
      <items count="12">
        <item x="2"/>
        <item x="5"/>
        <item x="1"/>
        <item x="4"/>
        <item x="3"/>
        <item x="0"/>
        <item x="6"/>
        <item x="10"/>
        <item x="9"/>
        <item x="8"/>
        <item x="7"/>
        <item t="default"/>
      </items>
    </pivotField>
    <pivotField numFmtId="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4" showAll="0"/>
    <pivotField numFmtId="4" showAll="0"/>
    <pivotField showAll="0"/>
    <pivotField numFmtId="4" showAll="0"/>
    <pivotField numFmtId="4" showAll="0">
      <items count="12">
        <item x="2"/>
        <item x="1"/>
        <item x="0"/>
        <item x="4"/>
        <item x="3"/>
        <item x="9"/>
        <item x="6"/>
        <item x="7"/>
        <item x="5"/>
        <item x="8"/>
        <item x="10"/>
        <item t="default"/>
      </items>
    </pivotField>
    <pivotField axis="axisRow" numFmtId="4" showAll="0">
      <items count="12">
        <item x="1"/>
        <item x="2"/>
        <item x="9"/>
        <item x="6"/>
        <item x="0"/>
        <item x="5"/>
        <item x="8"/>
        <item x="7"/>
        <item x="10"/>
        <item x="4"/>
        <item x="3"/>
        <item t="default"/>
      </items>
    </pivotField>
    <pivotField numFmtId="4" showAll="0"/>
    <pivotField numFmtId="4" showAll="0"/>
    <pivotField showAll="0"/>
    <pivotField numFmtId="4" showAll="0"/>
    <pivotField dataField="1" numFmtId="4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incipal repayments (long-term)" fld="14" baseField="0" baseItem="0" numFmtId="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59B478-CFCD-473A-84DA-E1776FF19524}" name="Table2" displayName="Table2" ref="N3:BT15" totalsRowCount="1" headerRowDxfId="119" dataDxfId="118">
  <autoFilter ref="N3:BT14" xr:uid="{6059B478-CFCD-473A-84DA-E1776FF19524}"/>
  <tableColumns count="59">
    <tableColumn id="1" xr3:uid="{1DF27FE1-6ABC-40FB-98D3-261BE73D2EDB}" name="Years" dataDxfId="117" totalsRowDxfId="58"/>
    <tableColumn id="2" xr3:uid="{7C8BC699-905A-4FF5-BD3B-8ED11A805A16}" name="Total External debt stocks" totalsRowFunction="custom" dataDxfId="116" totalsRowDxfId="57">
      <totalsRowFormula>SUM(Table2[Total External debt stocks])</totalsRowFormula>
    </tableColumn>
    <tableColumn id="3" xr3:uid="{6BCBB018-F3B5-4866-8D84-6443364D7884}" name="Use of IMF Credit and SDR allocations" dataDxfId="115" totalsRowDxfId="56"/>
    <tableColumn id="4" xr3:uid="{A16FBF0B-AE3F-4811-974E-CF6B371BE5B3}" name="Long-term external debt" dataDxfId="114" totalsRowDxfId="55"/>
    <tableColumn id="5" xr3:uid="{332632C8-89EF-4B52-84E1-3E22678D94E7}" name="Public sector" dataDxfId="113" totalsRowDxfId="54"/>
    <tableColumn id="6" xr3:uid="{35B8FBC1-FF16-4F0C-ABA2-3581D7B07A47}" name="of which: General Government" dataDxfId="112" totalsRowDxfId="53"/>
    <tableColumn id="7" xr3:uid="{35E08809-774F-4421-AC5E-A7F3942BA17B}" name="Private sector guaranteed by public sector" dataDxfId="111" totalsRowDxfId="52"/>
    <tableColumn id="8" xr3:uid="{69C7B43D-C3BA-4DE9-9A83-D3B17694FB72}" name="Private sector not guaranteed" dataDxfId="110" totalsRowDxfId="51"/>
    <tableColumn id="9" xr3:uid="{15406CE5-F178-443C-9A48-4C3A0EDAAF84}" name="Short-term external debt" dataDxfId="109" totalsRowDxfId="50"/>
    <tableColumn id="10" xr3:uid="{375A85CB-F8B7-4787-873C-C24269DAFA52}" name="Disbursements (long-term)" totalsRowFunction="sum" dataDxfId="108" totalsRowDxfId="49"/>
    <tableColumn id="11" xr3:uid="{CDAE6D46-0B37-409B-939E-6F8C5CFF8AA6}" name="Public sector(disbursement)" dataDxfId="107" totalsRowDxfId="48"/>
    <tableColumn id="12" xr3:uid="{7DB093CC-1FC1-4522-9AE0-16C9C49F7B24}" name="General Government(disbursement)" dataDxfId="106" totalsRowDxfId="47"/>
    <tableColumn id="13" xr3:uid="{FFF0C04F-8460-4082-90DE-C68727E94AA8}" name="Private sector guaranteed by public sector4" dataDxfId="105" totalsRowDxfId="46"/>
    <tableColumn id="14" xr3:uid="{6B2E53CD-A645-4C65-A858-23F9A68F8461}" name="Private sector (disbursements)" dataDxfId="104" totalsRowDxfId="45"/>
    <tableColumn id="15" xr3:uid="{94822867-CDAB-4391-9470-81B4DBC6011B}" name="Principal repayments (long-term)" totalsRowFunction="sum" dataDxfId="103" totalsRowDxfId="44"/>
    <tableColumn id="16" xr3:uid="{BA28EC0B-3C67-46CD-A77A-4BF3A06DD454}" name="Public sector(repayments)" dataDxfId="102" totalsRowDxfId="43"/>
    <tableColumn id="17" xr3:uid="{76E1DD15-914C-4927-A5F3-08525BC988F6}" name="General Government(repayments)" dataDxfId="101" totalsRowDxfId="42"/>
    <tableColumn id="18" xr3:uid="{E08B358B-B106-4CB0-B2DD-5D1839372FD1}" name="Private sector(repayments)" dataDxfId="100" totalsRowDxfId="41"/>
    <tableColumn id="19" xr3:uid="{7A49DF0A-C9E2-4181-89E1-AE0ABB8D9171}" name="Interest payments (long-term)" dataDxfId="99" totalsRowDxfId="40"/>
    <tableColumn id="20" xr3:uid="{D5AF2FFD-F1FB-43ED-B864-268FC9B85A47}" name="Public and publicly guaranteed sector" dataDxfId="98" totalsRowDxfId="39"/>
    <tableColumn id="21" xr3:uid="{2FBCA758-E571-408B-8A7B-6BC8355E48CB}" name="Public sector9" dataDxfId="97" totalsRowDxfId="38"/>
    <tableColumn id="22" xr3:uid="{9AB4AF84-382C-41B9-AA98-51728A21C3C1}" name="of which: General Government10" dataDxfId="96" totalsRowDxfId="37"/>
    <tableColumn id="23" xr3:uid="{696E99EF-06A3-4DEF-9D29-A19A98C52EC6}" name="Private sector not guaranteed11" dataDxfId="95" totalsRowDxfId="36"/>
    <tableColumn id="24" xr3:uid="{C2D9BF5D-4C95-4B2C-A1F4-167C6E2DD9FB}" name="Summary external debt stock by creditor type" dataDxfId="94" totalsRowDxfId="35"/>
    <tableColumn id="25" xr3:uid="{1717ADFF-94FA-486E-9DFF-76A5CF7B6114}" name="Long-term External debt stocks" dataDxfId="93" totalsRowDxfId="34"/>
    <tableColumn id="26" xr3:uid="{CBA98139-7808-480C-9AEB-2C260CEC7F0F}" name="Public and publicly guaranteed debt from:" dataDxfId="92" totalsRowDxfId="33"/>
    <tableColumn id="27" xr3:uid="{AE67C002-A281-43B0-AA79-E297212E62F8}" name="Official creditors" dataDxfId="91" totalsRowDxfId="32"/>
    <tableColumn id="28" xr3:uid="{8A838105-26C0-481B-8361-C1E4BAFD6895}" name="Multilateral" dataDxfId="90" totalsRowDxfId="31"/>
    <tableColumn id="29" xr3:uid="{493BF0F7-CDE1-4DF6-B7BC-F096EC708015}" name="of which: World Bank" dataDxfId="89" totalsRowDxfId="30"/>
    <tableColumn id="30" xr3:uid="{9D9C89FE-2FC9-4528-992D-B7F0AE4E12C7}" name="Bilateral" dataDxfId="88" totalsRowDxfId="29"/>
    <tableColumn id="31" xr3:uid="{CF6BBABF-7F00-40CB-A768-81BAB8628AA3}" name="Private creditors" dataDxfId="87" totalsRowDxfId="28"/>
    <tableColumn id="32" xr3:uid="{B0C0A4B1-1F88-4362-BF34-6B81DAF61457}" name="Bondholders(creditors)" dataDxfId="86" totalsRowDxfId="27"/>
    <tableColumn id="33" xr3:uid="{9888162C-CC49-44A6-907A-0A68A252AEAB}" name="Commercial banks and others" dataDxfId="85" totalsRowDxfId="26"/>
    <tableColumn id="34" xr3:uid="{663900D3-4613-466B-ABA4-1621FB69F788}" name="  Private nonguaranteed debt from:" dataDxfId="84" totalsRowDxfId="25"/>
    <tableColumn id="35" xr3:uid="{34503954-B430-4A4B-B868-E3DAC4C3CD7A}" name="Bondholders(private debt)" dataDxfId="83" totalsRowDxfId="24"/>
    <tableColumn id="36" xr3:uid="{F83D7C78-896F-445A-A757-0DDD2E736A15}" name="Commercial banks(private debt)" dataDxfId="82" totalsRowDxfId="23"/>
    <tableColumn id="37" xr3:uid="{57CE01B6-AA1A-4A1A-8073-7F53BCDF1186}" name="Net financial inflows" dataDxfId="81" totalsRowDxfId="22"/>
    <tableColumn id="38" xr3:uid="{03F3AA2B-6948-4C03-96BB-C6CA31263C25}" name="Net debt inflows" dataDxfId="80" totalsRowDxfId="21"/>
    <tableColumn id="39" xr3:uid="{509C3A0C-720D-44CB-8547-C1CFC9DD9500}" name="Use of IMF Credit" dataDxfId="79" totalsRowDxfId="20"/>
    <tableColumn id="40" xr3:uid="{B76E5D10-ACA6-47C0-88B5-614746FF0E81}" name="Long-term" dataDxfId="78" totalsRowDxfId="19"/>
    <tableColumn id="41" xr3:uid="{B1C405B9-9215-41DC-961F-38C9AA9E08F0}" name="Official creditors(long-term)" dataDxfId="77" totalsRowDxfId="18"/>
    <tableColumn id="42" xr3:uid="{14135140-4065-43E1-ADF8-ADA60BF05D28}" name="Multilateral(long-term)" dataDxfId="76" totalsRowDxfId="17"/>
    <tableColumn id="43" xr3:uid="{AE86DA65-E405-448A-A126-5935D2AA0CFE}" name="of which: World Bank(long-term)" dataDxfId="75" totalsRowDxfId="16"/>
    <tableColumn id="44" xr3:uid="{8E3E8BE6-8877-4B83-AD93-F677A6190CC5}" name="Bilateral(long-term)" dataDxfId="74" totalsRowDxfId="15"/>
    <tableColumn id="45" xr3:uid="{C7B082F3-CD36-4114-AE94-361480A8335C}" name="Private creditors(long-term)" dataDxfId="73" totalsRowDxfId="14"/>
    <tableColumn id="46" xr3:uid="{76DDFF4D-EA2B-43C8-B720-D523BD4D4FBC}" name="Bondholders(long-term)" dataDxfId="72" totalsRowDxfId="13"/>
    <tableColumn id="47" xr3:uid="{B41E1F65-2481-4A4D-89CD-80B4302F702A}" name="Banks and other private" dataDxfId="71" totalsRowDxfId="12"/>
    <tableColumn id="48" xr3:uid="{6AE7521B-2AD3-46DD-B005-5BCB99EC2F3B}" name="Short-term" dataDxfId="70" totalsRowDxfId="11"/>
    <tableColumn id="49" xr3:uid="{B9B97A34-2F08-43F1-AEBB-D9A7D2582A91}" name="Net equity inflows" dataDxfId="69" totalsRowDxfId="10"/>
    <tableColumn id="50" xr3:uid="{EAAD7BCC-213B-4DC2-9A44-4A94D086DC37}" name="Foreign direct investment" dataDxfId="68" totalsRowDxfId="9"/>
    <tableColumn id="51" xr3:uid="{E56231E2-1301-4DE7-BC6E-DBEC74FED2BD}" name="Portfolio equity" dataDxfId="67" totalsRowDxfId="8"/>
    <tableColumn id="52" xr3:uid="{B5F0D3E7-8B33-4F22-93AB-072285A3D5D7}" name="Debt ratios" dataDxfId="66" totalsRowDxfId="7"/>
    <tableColumn id="53" xr3:uid="{E326AF8F-9C92-40E6-9F65-1F67E187D9B3}" name="External debt stocks to exports (%)" dataDxfId="65" totalsRowDxfId="6"/>
    <tableColumn id="54" xr3:uid="{E8FE0940-67B7-47CE-924A-27FC45E9B5E0}" name="External debt stocks to GNI (%)" dataDxfId="64" totalsRowDxfId="5"/>
    <tableColumn id="55" xr3:uid="{E5572274-0465-4F9E-9808-0F56722BFCE5}" name="Debt service to exports (%)" dataDxfId="63" totalsRowDxfId="4"/>
    <tableColumn id="56" xr3:uid="{48878308-DB23-446A-A7B8-A0522AA6E816}" name="Short-term to external debt stocks (%)" dataDxfId="62" totalsRowDxfId="3"/>
    <tableColumn id="57" xr3:uid="{542779DB-8628-43A7-9B81-08603A5945D1}" name="Multilateral to external debt stocks (%)" dataDxfId="61" totalsRowDxfId="2"/>
    <tableColumn id="58" xr3:uid="{56F2C686-50DE-4FB5-8DC7-58900DEAFDF1}" name="Reserves to external debt stocks (%)" dataDxfId="60" totalsRowDxfId="1"/>
    <tableColumn id="59" xr3:uid="{7215CD4E-B62F-44D8-B680-B766F41C99C3}" name="Gross national income (GNI)" totalsRowFunction="sum" dataDxfId="5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DD2B-5566-43D5-BD79-4826C488E3E5}">
  <dimension ref="A1:L75"/>
  <sheetViews>
    <sheetView showGridLines="0" topLeftCell="A54" workbookViewId="0">
      <selection activeCell="E66" sqref="E66"/>
    </sheetView>
  </sheetViews>
  <sheetFormatPr defaultRowHeight="15" x14ac:dyDescent="0.25"/>
  <cols>
    <col min="1" max="1" width="36.5703125" bestFit="1" customWidth="1"/>
    <col min="2" max="12" width="10.140625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1"/>
      <c r="B3" s="1">
        <v>2014</v>
      </c>
      <c r="C3" s="1">
        <v>2015</v>
      </c>
      <c r="D3" s="1">
        <v>2016</v>
      </c>
      <c r="E3" s="1">
        <v>2017</v>
      </c>
      <c r="F3" s="1">
        <v>2018</v>
      </c>
      <c r="G3" s="1">
        <v>2019</v>
      </c>
      <c r="H3" s="1">
        <v>2020</v>
      </c>
      <c r="I3" s="1">
        <v>2021</v>
      </c>
      <c r="J3" s="1">
        <v>2022</v>
      </c>
      <c r="K3" s="1">
        <v>2023</v>
      </c>
      <c r="L3" s="1">
        <v>2024</v>
      </c>
    </row>
    <row r="4" spans="1:12" ht="15" customHeight="1" x14ac:dyDescent="0.25"/>
    <row r="5" spans="1:12" x14ac:dyDescent="0.25">
      <c r="A5" s="1" t="s">
        <v>2</v>
      </c>
      <c r="B5" s="3">
        <v>46672.5</v>
      </c>
      <c r="C5" s="3">
        <v>45024.800000000003</v>
      </c>
      <c r="D5" s="3">
        <v>43735.9</v>
      </c>
      <c r="E5" s="3">
        <v>65142.8</v>
      </c>
      <c r="F5" s="3">
        <v>69440.3</v>
      </c>
      <c r="G5" s="3">
        <v>81342.8</v>
      </c>
      <c r="H5" s="3">
        <v>87591.2</v>
      </c>
      <c r="I5" s="3">
        <v>96254.7</v>
      </c>
      <c r="J5" s="3">
        <v>103064.2</v>
      </c>
      <c r="K5" s="3">
        <v>102472.8</v>
      </c>
      <c r="L5" s="3">
        <v>108757.6</v>
      </c>
    </row>
    <row r="6" spans="1:12" x14ac:dyDescent="0.25">
      <c r="A6" s="1" t="s">
        <v>3</v>
      </c>
      <c r="B6" s="3">
        <v>2427.3000000000002</v>
      </c>
      <c r="C6" s="3">
        <v>2321.6</v>
      </c>
      <c r="D6" s="3">
        <v>2252.3000000000002</v>
      </c>
      <c r="E6" s="3">
        <v>2386</v>
      </c>
      <c r="F6" s="3">
        <v>2330.1</v>
      </c>
      <c r="G6" s="3">
        <v>2316.8000000000002</v>
      </c>
      <c r="H6" s="3">
        <v>5948.1</v>
      </c>
      <c r="I6" s="3">
        <v>9072.7000000000007</v>
      </c>
      <c r="J6" s="3">
        <v>8627.1</v>
      </c>
      <c r="K6" s="3">
        <v>7874</v>
      </c>
      <c r="L6" s="3">
        <v>6053.2</v>
      </c>
    </row>
    <row r="7" spans="1:12" x14ac:dyDescent="0.25">
      <c r="A7" s="1" t="s">
        <v>4</v>
      </c>
      <c r="B7" s="3">
        <v>31603.1</v>
      </c>
      <c r="C7" s="3">
        <v>33857.599999999999</v>
      </c>
      <c r="D7" s="3">
        <v>34956.199999999997</v>
      </c>
      <c r="E7" s="3">
        <v>45285</v>
      </c>
      <c r="F7" s="3">
        <v>53312</v>
      </c>
      <c r="G7" s="3">
        <v>58167.6</v>
      </c>
      <c r="H7" s="3">
        <v>63219.4</v>
      </c>
      <c r="I7" s="3">
        <v>68607.8</v>
      </c>
      <c r="J7" s="3">
        <v>72935.199999999997</v>
      </c>
      <c r="K7" s="3">
        <v>76305</v>
      </c>
      <c r="L7" s="3">
        <v>80477.399999999994</v>
      </c>
    </row>
    <row r="8" spans="1:12" x14ac:dyDescent="0.25">
      <c r="A8" s="1" t="s">
        <v>5</v>
      </c>
      <c r="B8" s="3">
        <v>9666.2000000000007</v>
      </c>
      <c r="C8" s="3">
        <v>10677.5</v>
      </c>
      <c r="D8" s="3">
        <v>11328.3</v>
      </c>
      <c r="E8" s="3">
        <v>18856.599999999999</v>
      </c>
      <c r="F8" s="3">
        <v>25275.3</v>
      </c>
      <c r="G8" s="3">
        <v>27579.5</v>
      </c>
      <c r="H8" s="3">
        <v>32057.3</v>
      </c>
      <c r="I8" s="3">
        <v>36149.5</v>
      </c>
      <c r="J8" s="3">
        <v>39981.300000000003</v>
      </c>
      <c r="K8" s="3">
        <v>44039.9</v>
      </c>
      <c r="L8" s="3">
        <v>50191.5</v>
      </c>
    </row>
    <row r="9" spans="1:12" x14ac:dyDescent="0.25">
      <c r="A9" s="1" t="s">
        <v>6</v>
      </c>
      <c r="B9" s="3">
        <v>9666.2000000000007</v>
      </c>
      <c r="C9" s="3">
        <v>10677.5</v>
      </c>
      <c r="D9" s="3">
        <v>11328.3</v>
      </c>
      <c r="E9" s="3">
        <v>18856.599999999999</v>
      </c>
      <c r="F9" s="3">
        <v>25275.3</v>
      </c>
      <c r="G9" s="3">
        <v>27579.5</v>
      </c>
      <c r="H9" s="3">
        <v>32057.3</v>
      </c>
      <c r="I9" s="3">
        <v>36149.5</v>
      </c>
      <c r="J9" s="3">
        <v>39981.300000000003</v>
      </c>
      <c r="K9" s="3">
        <v>44039.9</v>
      </c>
      <c r="L9" s="3">
        <v>50191.5</v>
      </c>
    </row>
    <row r="10" spans="1:12" x14ac:dyDescent="0.25">
      <c r="A10" s="1" t="s">
        <v>7</v>
      </c>
      <c r="B10" s="3">
        <v>9590.4</v>
      </c>
      <c r="C10" s="3">
        <v>10464</v>
      </c>
      <c r="D10" s="3">
        <v>11070.6</v>
      </c>
      <c r="E10" s="3">
        <v>18530.7</v>
      </c>
      <c r="F10" s="3">
        <v>24883.9</v>
      </c>
      <c r="G10" s="3">
        <v>27179.3</v>
      </c>
      <c r="H10" s="3">
        <v>29244.1</v>
      </c>
      <c r="I10" s="3">
        <v>33957.9</v>
      </c>
      <c r="J10" s="3">
        <v>37611.1</v>
      </c>
      <c r="K10" s="3">
        <v>39868.800000000003</v>
      </c>
      <c r="L10" s="3">
        <v>44637.7</v>
      </c>
    </row>
    <row r="11" spans="1:12" ht="30" x14ac:dyDescent="0.25">
      <c r="A11" s="1" t="s">
        <v>8</v>
      </c>
      <c r="B11" s="1" t="s">
        <v>9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  <c r="H11" s="1" t="s">
        <v>9</v>
      </c>
      <c r="I11" s="1" t="s">
        <v>9</v>
      </c>
      <c r="J11" s="1" t="s">
        <v>9</v>
      </c>
      <c r="K11" s="1" t="s">
        <v>9</v>
      </c>
      <c r="L11" s="1" t="s">
        <v>9</v>
      </c>
    </row>
    <row r="12" spans="1:12" x14ac:dyDescent="0.25">
      <c r="A12" s="1" t="s">
        <v>10</v>
      </c>
      <c r="B12" s="3">
        <v>21936.9</v>
      </c>
      <c r="C12" s="3">
        <v>23180.2</v>
      </c>
      <c r="D12" s="3">
        <v>23627.9</v>
      </c>
      <c r="E12" s="3">
        <v>26428.400000000001</v>
      </c>
      <c r="F12" s="3">
        <v>28036.7</v>
      </c>
      <c r="G12" s="3">
        <v>30588.1</v>
      </c>
      <c r="H12" s="3">
        <v>31162.1</v>
      </c>
      <c r="I12" s="3">
        <v>32458.3</v>
      </c>
      <c r="J12" s="3">
        <v>32953.9</v>
      </c>
      <c r="K12" s="3">
        <v>32265.200000000001</v>
      </c>
      <c r="L12" s="3">
        <v>30285.9</v>
      </c>
    </row>
    <row r="13" spans="1:12" x14ac:dyDescent="0.25">
      <c r="A13" s="1" t="s">
        <v>11</v>
      </c>
      <c r="B13" s="3">
        <v>12642.1</v>
      </c>
      <c r="C13" s="3">
        <v>8845.6</v>
      </c>
      <c r="D13" s="3">
        <v>6527.5</v>
      </c>
      <c r="E13" s="3">
        <v>17471.8</v>
      </c>
      <c r="F13" s="3">
        <v>13798.2</v>
      </c>
      <c r="G13" s="3">
        <v>20858.400000000001</v>
      </c>
      <c r="H13" s="3">
        <v>18423.8</v>
      </c>
      <c r="I13" s="3">
        <v>18574.2</v>
      </c>
      <c r="J13" s="3">
        <v>21502</v>
      </c>
      <c r="K13" s="3">
        <v>18293.8</v>
      </c>
      <c r="L13" s="3">
        <v>22227</v>
      </c>
    </row>
    <row r="14" spans="1:12" x14ac:dyDescent="0.25">
      <c r="A14" s="1" t="s">
        <v>12</v>
      </c>
      <c r="B14" s="3">
        <v>8968</v>
      </c>
      <c r="C14" s="3">
        <v>4132.5</v>
      </c>
      <c r="D14" s="3">
        <v>5546.4</v>
      </c>
      <c r="E14" s="3">
        <v>12287.8</v>
      </c>
      <c r="F14" s="3">
        <v>11967.5</v>
      </c>
      <c r="G14" s="3">
        <v>9194.6</v>
      </c>
      <c r="H14" s="3">
        <v>7752.2</v>
      </c>
      <c r="I14" s="3">
        <v>11708.1</v>
      </c>
      <c r="J14" s="3">
        <v>10067.1</v>
      </c>
      <c r="K14" s="3">
        <v>7498.1</v>
      </c>
      <c r="L14" s="3">
        <v>11924.1</v>
      </c>
    </row>
    <row r="15" spans="1:12" x14ac:dyDescent="0.25">
      <c r="A15" s="1" t="s">
        <v>5</v>
      </c>
      <c r="B15" s="3">
        <v>1910.1</v>
      </c>
      <c r="C15" s="3">
        <v>1436.7</v>
      </c>
      <c r="D15" s="3">
        <v>1145.5999999999999</v>
      </c>
      <c r="E15" s="3">
        <v>7149.1</v>
      </c>
      <c r="F15" s="3">
        <v>7371.7</v>
      </c>
      <c r="G15" s="3">
        <v>2678</v>
      </c>
      <c r="H15" s="3">
        <v>4378.8</v>
      </c>
      <c r="I15" s="3">
        <v>6093.2</v>
      </c>
      <c r="J15" s="3">
        <v>5953</v>
      </c>
      <c r="K15" s="3">
        <v>5621.8</v>
      </c>
      <c r="L15" s="3">
        <v>8495.2999999999993</v>
      </c>
    </row>
    <row r="16" spans="1:12" x14ac:dyDescent="0.25">
      <c r="A16" s="1" t="s">
        <v>6</v>
      </c>
      <c r="B16" s="3">
        <v>1910.1</v>
      </c>
      <c r="C16" s="3">
        <v>1436.7</v>
      </c>
      <c r="D16" s="3">
        <v>1145.5999999999999</v>
      </c>
      <c r="E16" s="3">
        <v>7149.1</v>
      </c>
      <c r="F16" s="3">
        <v>7371.7</v>
      </c>
      <c r="G16" s="3">
        <v>2678</v>
      </c>
      <c r="H16" s="3">
        <v>4378.8</v>
      </c>
      <c r="I16" s="3">
        <v>6093.2</v>
      </c>
      <c r="J16" s="3">
        <v>5953</v>
      </c>
      <c r="K16" s="3">
        <v>5621.8</v>
      </c>
      <c r="L16" s="3">
        <v>8495.2999999999993</v>
      </c>
    </row>
    <row r="17" spans="1:12" x14ac:dyDescent="0.25">
      <c r="A17" s="1" t="s">
        <v>7</v>
      </c>
      <c r="B17" s="3">
        <v>1829.9</v>
      </c>
      <c r="C17" s="3">
        <v>1293.8</v>
      </c>
      <c r="D17" s="3">
        <v>1092.9000000000001</v>
      </c>
      <c r="E17" s="3">
        <v>7097.5</v>
      </c>
      <c r="F17" s="3">
        <v>7298.2</v>
      </c>
      <c r="G17" s="3">
        <v>2666.7</v>
      </c>
      <c r="H17" s="3">
        <v>2072.8000000000002</v>
      </c>
      <c r="I17" s="3">
        <v>6093.2</v>
      </c>
      <c r="J17" s="3">
        <v>5215.6000000000004</v>
      </c>
      <c r="K17" s="3">
        <v>3371.8</v>
      </c>
      <c r="L17" s="3">
        <v>6460.6</v>
      </c>
    </row>
    <row r="18" spans="1:12" ht="30" x14ac:dyDescent="0.25">
      <c r="A18" s="1" t="s">
        <v>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5">
      <c r="A19" s="1" t="s">
        <v>10</v>
      </c>
      <c r="B19" s="3">
        <v>7058</v>
      </c>
      <c r="C19" s="3">
        <v>2695.7</v>
      </c>
      <c r="D19" s="3">
        <v>4400.8</v>
      </c>
      <c r="E19" s="3">
        <v>5138.7</v>
      </c>
      <c r="F19" s="3">
        <v>4595.8999999999996</v>
      </c>
      <c r="G19" s="3">
        <v>6516.6</v>
      </c>
      <c r="H19" s="3">
        <v>3373.4</v>
      </c>
      <c r="I19" s="3">
        <v>5614.9</v>
      </c>
      <c r="J19" s="3">
        <v>4114.1000000000004</v>
      </c>
      <c r="K19" s="3">
        <v>1876.3</v>
      </c>
      <c r="L19" s="3">
        <v>3428.8</v>
      </c>
    </row>
    <row r="20" spans="1:12" x14ac:dyDescent="0.25">
      <c r="A20" s="1" t="s">
        <v>13</v>
      </c>
      <c r="B20" s="3">
        <v>1655.9</v>
      </c>
      <c r="C20" s="3">
        <v>1567.3</v>
      </c>
      <c r="D20" s="3">
        <v>4132.8</v>
      </c>
      <c r="E20" s="3">
        <v>2475.5</v>
      </c>
      <c r="F20" s="3">
        <v>3722.7</v>
      </c>
      <c r="G20" s="3">
        <v>4260.3</v>
      </c>
      <c r="H20" s="3">
        <v>3249.8</v>
      </c>
      <c r="I20" s="3">
        <v>5845.7</v>
      </c>
      <c r="J20" s="3">
        <v>5045.8</v>
      </c>
      <c r="K20" s="3">
        <v>4224.8</v>
      </c>
      <c r="L20" s="3">
        <v>6952.2</v>
      </c>
    </row>
    <row r="21" spans="1:12" x14ac:dyDescent="0.25">
      <c r="A21" s="1" t="s">
        <v>5</v>
      </c>
      <c r="B21" s="1">
        <v>137.9</v>
      </c>
      <c r="C21" s="1">
        <v>114.8</v>
      </c>
      <c r="D21" s="1">
        <v>179.8</v>
      </c>
      <c r="E21" s="1">
        <v>137.30000000000001</v>
      </c>
      <c r="F21" s="1">
        <v>735.2</v>
      </c>
      <c r="G21" s="1">
        <v>295.2</v>
      </c>
      <c r="H21" s="1">
        <v>450.9</v>
      </c>
      <c r="I21" s="3">
        <v>1527.2</v>
      </c>
      <c r="J21" s="3">
        <v>1427.4</v>
      </c>
      <c r="K21" s="3">
        <v>1779.6</v>
      </c>
      <c r="L21" s="3">
        <v>1660.6</v>
      </c>
    </row>
    <row r="22" spans="1:12" x14ac:dyDescent="0.25">
      <c r="A22" s="1" t="s">
        <v>6</v>
      </c>
      <c r="B22" s="1">
        <v>137.9</v>
      </c>
      <c r="C22" s="1">
        <v>114.8</v>
      </c>
      <c r="D22" s="1">
        <v>179.8</v>
      </c>
      <c r="E22" s="1">
        <v>137.30000000000001</v>
      </c>
      <c r="F22" s="1">
        <v>735.2</v>
      </c>
      <c r="G22" s="1">
        <v>295.2</v>
      </c>
      <c r="H22" s="1">
        <v>450.9</v>
      </c>
      <c r="I22" s="3">
        <v>1527.2</v>
      </c>
      <c r="J22" s="3">
        <v>1427.4</v>
      </c>
      <c r="K22" s="3">
        <v>1779.6</v>
      </c>
      <c r="L22" s="3">
        <v>1660.6</v>
      </c>
    </row>
    <row r="23" spans="1:12" x14ac:dyDescent="0.25">
      <c r="A23" s="1" t="s">
        <v>7</v>
      </c>
      <c r="B23" s="1">
        <v>137.9</v>
      </c>
      <c r="C23" s="1">
        <v>114.8</v>
      </c>
      <c r="D23" s="1">
        <v>179.8</v>
      </c>
      <c r="E23" s="1">
        <v>137.30000000000001</v>
      </c>
      <c r="F23" s="1">
        <v>735.2</v>
      </c>
      <c r="G23" s="1">
        <v>295.2</v>
      </c>
      <c r="H23" s="1">
        <v>450.9</v>
      </c>
      <c r="I23" s="3">
        <v>1011.1</v>
      </c>
      <c r="J23" s="1">
        <v>941.2</v>
      </c>
      <c r="K23" s="3">
        <v>1282.3</v>
      </c>
      <c r="L23" s="3">
        <v>1161.5</v>
      </c>
    </row>
    <row r="24" spans="1:12" ht="30" x14ac:dyDescent="0.25">
      <c r="A24" s="1" t="s">
        <v>8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1" t="s">
        <v>9</v>
      </c>
    </row>
    <row r="25" spans="1:12" x14ac:dyDescent="0.25">
      <c r="A25" s="1" t="s">
        <v>10</v>
      </c>
      <c r="B25" s="3">
        <v>1518</v>
      </c>
      <c r="C25" s="3">
        <v>1452.5</v>
      </c>
      <c r="D25" s="3">
        <v>3953</v>
      </c>
      <c r="E25" s="3">
        <v>2338.1999999999998</v>
      </c>
      <c r="F25" s="3">
        <v>2987.6</v>
      </c>
      <c r="G25" s="3">
        <v>3965.1</v>
      </c>
      <c r="H25" s="3">
        <v>2798.9</v>
      </c>
      <c r="I25" s="3">
        <v>4318.5</v>
      </c>
      <c r="J25" s="3">
        <v>3618.4</v>
      </c>
      <c r="K25" s="3">
        <v>2445.1999999999998</v>
      </c>
      <c r="L25" s="3">
        <v>5291.6</v>
      </c>
    </row>
    <row r="26" spans="1:12" x14ac:dyDescent="0.25">
      <c r="A26" s="1" t="s">
        <v>14</v>
      </c>
      <c r="B26" s="1">
        <v>411</v>
      </c>
      <c r="C26" s="1">
        <v>651.70000000000005</v>
      </c>
      <c r="D26" s="1">
        <v>817.7</v>
      </c>
      <c r="E26" s="3">
        <v>1048.8</v>
      </c>
      <c r="F26" s="3">
        <v>1745.7</v>
      </c>
      <c r="G26" s="3">
        <v>2094.1999999999998</v>
      </c>
      <c r="H26" s="3">
        <v>1948.6</v>
      </c>
      <c r="I26" s="3">
        <v>1862</v>
      </c>
      <c r="J26" s="3">
        <v>2349.9</v>
      </c>
      <c r="K26" s="3">
        <v>3095.8</v>
      </c>
      <c r="L26" s="3">
        <v>3313.6</v>
      </c>
    </row>
    <row r="27" spans="1:12" x14ac:dyDescent="0.25">
      <c r="A27" s="1" t="s">
        <v>5</v>
      </c>
      <c r="B27" s="1">
        <v>126.1</v>
      </c>
      <c r="C27" s="1">
        <v>282.39999999999998</v>
      </c>
      <c r="D27" s="1">
        <v>175</v>
      </c>
      <c r="E27" s="1">
        <v>206.7</v>
      </c>
      <c r="F27" s="1">
        <v>698.5</v>
      </c>
      <c r="G27" s="3">
        <v>1095.2</v>
      </c>
      <c r="H27" s="3">
        <v>1115</v>
      </c>
      <c r="I27" s="3">
        <v>1118.5</v>
      </c>
      <c r="J27" s="3">
        <v>1485.1</v>
      </c>
      <c r="K27" s="3">
        <v>1787.8</v>
      </c>
      <c r="L27" s="3">
        <v>2199.3000000000002</v>
      </c>
    </row>
    <row r="28" spans="1:12" x14ac:dyDescent="0.25">
      <c r="A28" s="1" t="s">
        <v>6</v>
      </c>
      <c r="B28" s="1">
        <v>126.1</v>
      </c>
      <c r="C28" s="1">
        <v>282.39999999999998</v>
      </c>
      <c r="D28" s="1">
        <v>175</v>
      </c>
      <c r="E28" s="1">
        <v>206.7</v>
      </c>
      <c r="F28" s="1">
        <v>698.5</v>
      </c>
      <c r="G28" s="3">
        <v>1095.2</v>
      </c>
      <c r="H28" s="3">
        <v>1115</v>
      </c>
      <c r="I28" s="3">
        <v>1118.5</v>
      </c>
      <c r="J28" s="3">
        <v>1485.1</v>
      </c>
      <c r="K28" s="3">
        <v>1787.8</v>
      </c>
      <c r="L28" s="3">
        <v>2199.3000000000002</v>
      </c>
    </row>
    <row r="29" spans="1:12" x14ac:dyDescent="0.25">
      <c r="A29" s="1" t="s">
        <v>7</v>
      </c>
      <c r="B29" s="1">
        <v>125.9</v>
      </c>
      <c r="C29" s="1">
        <v>281.5</v>
      </c>
      <c r="D29" s="1">
        <v>173.2</v>
      </c>
      <c r="E29" s="1">
        <v>204.6</v>
      </c>
      <c r="F29" s="1">
        <v>696</v>
      </c>
      <c r="G29" s="3">
        <v>1092.2</v>
      </c>
      <c r="H29" s="3">
        <v>1111.9000000000001</v>
      </c>
      <c r="I29" s="3">
        <v>1110</v>
      </c>
      <c r="J29" s="3">
        <v>1476.8</v>
      </c>
      <c r="K29" s="3">
        <v>1671.2</v>
      </c>
      <c r="L29" s="3">
        <v>1849.9</v>
      </c>
    </row>
    <row r="30" spans="1:12" ht="30" x14ac:dyDescent="0.25">
      <c r="A30" s="1" t="s">
        <v>8</v>
      </c>
      <c r="B30" s="1" t="s">
        <v>9</v>
      </c>
      <c r="C30" s="1" t="s">
        <v>9</v>
      </c>
      <c r="D30" s="1" t="s">
        <v>9</v>
      </c>
      <c r="E30" s="1" t="s">
        <v>9</v>
      </c>
      <c r="F30" s="1" t="s">
        <v>9</v>
      </c>
      <c r="G30" s="1" t="s">
        <v>9</v>
      </c>
      <c r="H30" s="1" t="s">
        <v>9</v>
      </c>
      <c r="I30" s="1" t="s">
        <v>9</v>
      </c>
      <c r="J30" s="1" t="s">
        <v>9</v>
      </c>
      <c r="K30" s="1" t="s">
        <v>9</v>
      </c>
      <c r="L30" s="1" t="s">
        <v>9</v>
      </c>
    </row>
    <row r="31" spans="1:12" x14ac:dyDescent="0.25">
      <c r="A31" s="1" t="s">
        <v>10</v>
      </c>
      <c r="B31" s="1">
        <v>284.8</v>
      </c>
      <c r="C31" s="1">
        <v>369.3</v>
      </c>
      <c r="D31" s="1">
        <v>642.70000000000005</v>
      </c>
      <c r="E31" s="1">
        <v>842.2</v>
      </c>
      <c r="F31" s="3">
        <v>1047.2</v>
      </c>
      <c r="G31" s="1">
        <v>999</v>
      </c>
      <c r="H31" s="1">
        <v>833.6</v>
      </c>
      <c r="I31" s="1">
        <v>743.5</v>
      </c>
      <c r="J31" s="1">
        <v>864.8</v>
      </c>
      <c r="K31" s="3">
        <v>1308</v>
      </c>
      <c r="L31" s="3">
        <v>1114.3</v>
      </c>
    </row>
    <row r="32" spans="1:12" ht="15" customHeight="1" x14ac:dyDescent="0.25">
      <c r="A32" s="9" t="s">
        <v>15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" t="s">
        <v>16</v>
      </c>
      <c r="B33" s="3">
        <v>31603.1</v>
      </c>
      <c r="C33" s="3">
        <v>33857.599999999999</v>
      </c>
      <c r="D33" s="3">
        <v>34956.199999999997</v>
      </c>
      <c r="E33" s="3">
        <v>45285</v>
      </c>
      <c r="F33" s="3">
        <v>53312</v>
      </c>
      <c r="G33" s="3">
        <v>58167.6</v>
      </c>
      <c r="H33" s="3">
        <v>63219.4</v>
      </c>
      <c r="I33" s="3">
        <v>68607.8</v>
      </c>
      <c r="J33" s="3">
        <v>72935.199999999997</v>
      </c>
      <c r="K33" s="3">
        <v>76305</v>
      </c>
      <c r="L33" s="3">
        <v>80477.399999999994</v>
      </c>
    </row>
    <row r="34" spans="1:12" ht="30" x14ac:dyDescent="0.25">
      <c r="A34" s="1" t="s">
        <v>17</v>
      </c>
      <c r="B34" s="3">
        <v>9666.2000000000007</v>
      </c>
      <c r="C34" s="3">
        <v>10677.5</v>
      </c>
      <c r="D34" s="3">
        <v>11328.3</v>
      </c>
      <c r="E34" s="3">
        <v>18856.599999999999</v>
      </c>
      <c r="F34" s="3">
        <v>25275.3</v>
      </c>
      <c r="G34" s="3">
        <v>27579.5</v>
      </c>
      <c r="H34" s="3">
        <v>32057.3</v>
      </c>
      <c r="I34" s="3">
        <v>36149.5</v>
      </c>
      <c r="J34" s="3">
        <v>39981.300000000003</v>
      </c>
      <c r="K34" s="3">
        <v>44039.9</v>
      </c>
      <c r="L34" s="3">
        <v>50191.5</v>
      </c>
    </row>
    <row r="35" spans="1:12" x14ac:dyDescent="0.25">
      <c r="A35" s="1" t="s">
        <v>18</v>
      </c>
      <c r="B35" s="3">
        <v>8166.2</v>
      </c>
      <c r="C35" s="3">
        <v>9177.5</v>
      </c>
      <c r="D35" s="3">
        <v>9828.2999999999993</v>
      </c>
      <c r="E35" s="3">
        <v>12556.6</v>
      </c>
      <c r="F35" s="3">
        <v>14106.9</v>
      </c>
      <c r="G35" s="3">
        <v>16411.099999999999</v>
      </c>
      <c r="H35" s="3">
        <v>18517.7</v>
      </c>
      <c r="I35" s="3">
        <v>19719</v>
      </c>
      <c r="J35" s="3">
        <v>22138.6</v>
      </c>
      <c r="K35" s="3">
        <v>27133.1</v>
      </c>
      <c r="L35" s="3">
        <v>29897.8</v>
      </c>
    </row>
    <row r="36" spans="1:12" x14ac:dyDescent="0.25">
      <c r="A36" s="1" t="s">
        <v>19</v>
      </c>
      <c r="B36" s="3">
        <v>6727.3</v>
      </c>
      <c r="C36" s="3">
        <v>7494.8</v>
      </c>
      <c r="D36" s="3">
        <v>7893</v>
      </c>
      <c r="E36" s="3">
        <v>10137</v>
      </c>
      <c r="F36" s="3">
        <v>10971.9</v>
      </c>
      <c r="G36" s="3">
        <v>12564.8</v>
      </c>
      <c r="H36" s="3">
        <v>14327.7</v>
      </c>
      <c r="I36" s="3">
        <v>15260.7</v>
      </c>
      <c r="J36" s="3">
        <v>17022</v>
      </c>
      <c r="K36" s="3">
        <v>21096.5</v>
      </c>
      <c r="L36" s="3">
        <v>23800.2</v>
      </c>
    </row>
    <row r="37" spans="1:12" x14ac:dyDescent="0.25">
      <c r="A37" s="1" t="s">
        <v>20</v>
      </c>
      <c r="B37" s="3">
        <v>5778.8</v>
      </c>
      <c r="C37" s="3">
        <v>6225.9</v>
      </c>
      <c r="D37" s="3">
        <v>6640</v>
      </c>
      <c r="E37" s="3">
        <v>7913</v>
      </c>
      <c r="F37" s="3">
        <v>8557</v>
      </c>
      <c r="G37" s="3">
        <v>9959.2000000000007</v>
      </c>
      <c r="H37" s="3">
        <v>11415.2</v>
      </c>
      <c r="I37" s="3">
        <v>12310.4</v>
      </c>
      <c r="J37" s="3">
        <v>13995.8</v>
      </c>
      <c r="K37" s="3">
        <v>15611.4</v>
      </c>
      <c r="L37" s="3">
        <v>17843.099999999999</v>
      </c>
    </row>
    <row r="38" spans="1:12" x14ac:dyDescent="0.25">
      <c r="A38" s="1" t="s">
        <v>21</v>
      </c>
      <c r="B38" s="3">
        <v>1438.8</v>
      </c>
      <c r="C38" s="3">
        <v>1682.7</v>
      </c>
      <c r="D38" s="3">
        <v>1935.2</v>
      </c>
      <c r="E38" s="3">
        <v>2419.6</v>
      </c>
      <c r="F38" s="3">
        <v>3135</v>
      </c>
      <c r="G38" s="3">
        <v>3846.3</v>
      </c>
      <c r="H38" s="3">
        <v>4190</v>
      </c>
      <c r="I38" s="3">
        <v>4458.3999999999996</v>
      </c>
      <c r="J38" s="3">
        <v>5116.6000000000004</v>
      </c>
      <c r="K38" s="3">
        <v>6036.6</v>
      </c>
      <c r="L38" s="3">
        <v>6097.6</v>
      </c>
    </row>
    <row r="39" spans="1:12" x14ac:dyDescent="0.25">
      <c r="A39" s="1" t="s">
        <v>22</v>
      </c>
      <c r="B39" s="3">
        <v>1500</v>
      </c>
      <c r="C39" s="3">
        <v>1500</v>
      </c>
      <c r="D39" s="3">
        <v>1500</v>
      </c>
      <c r="E39" s="3">
        <v>6300</v>
      </c>
      <c r="F39" s="3">
        <v>11168.4</v>
      </c>
      <c r="G39" s="3">
        <v>11168.4</v>
      </c>
      <c r="H39" s="3">
        <v>13539.6</v>
      </c>
      <c r="I39" s="3">
        <v>16430.5</v>
      </c>
      <c r="J39" s="3">
        <v>17842.7</v>
      </c>
      <c r="K39" s="3">
        <v>16906.8</v>
      </c>
      <c r="L39" s="3">
        <v>20293.7</v>
      </c>
    </row>
    <row r="40" spans="1:12" x14ac:dyDescent="0.25">
      <c r="A40" s="1" t="s">
        <v>23</v>
      </c>
      <c r="B40" s="3">
        <v>1500</v>
      </c>
      <c r="C40" s="3">
        <v>1500</v>
      </c>
      <c r="D40" s="3">
        <v>1500</v>
      </c>
      <c r="E40" s="3">
        <v>6300</v>
      </c>
      <c r="F40" s="3">
        <v>11168.4</v>
      </c>
      <c r="G40" s="3">
        <v>11168.4</v>
      </c>
      <c r="H40" s="3">
        <v>11168.4</v>
      </c>
      <c r="I40" s="3">
        <v>14668.4</v>
      </c>
      <c r="J40" s="3">
        <v>16365</v>
      </c>
      <c r="K40" s="3">
        <v>15891.9</v>
      </c>
      <c r="L40" s="3">
        <v>18045.599999999999</v>
      </c>
    </row>
    <row r="41" spans="1:12" x14ac:dyDescent="0.25">
      <c r="A41" s="1" t="s">
        <v>24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3">
        <v>2371.1999999999998</v>
      </c>
      <c r="I41" s="3">
        <v>1762.1</v>
      </c>
      <c r="J41" s="3">
        <v>1477.7</v>
      </c>
      <c r="K41" s="3">
        <v>1014.9</v>
      </c>
      <c r="L41" s="3">
        <v>2248.1999999999998</v>
      </c>
    </row>
    <row r="42" spans="1:12" x14ac:dyDescent="0.25">
      <c r="A42" s="1" t="s">
        <v>25</v>
      </c>
      <c r="B42" s="3">
        <v>21936.9</v>
      </c>
      <c r="C42" s="3">
        <v>23180.2</v>
      </c>
      <c r="D42" s="3">
        <v>23627.9</v>
      </c>
      <c r="E42" s="3">
        <v>26428.400000000001</v>
      </c>
      <c r="F42" s="3">
        <v>28036.7</v>
      </c>
      <c r="G42" s="3">
        <v>30588.1</v>
      </c>
      <c r="H42" s="3">
        <v>31162.1</v>
      </c>
      <c r="I42" s="3">
        <v>32458.3</v>
      </c>
      <c r="J42" s="3">
        <v>32953.9</v>
      </c>
      <c r="K42" s="3">
        <v>32265.200000000001</v>
      </c>
      <c r="L42" s="3">
        <v>30285.9</v>
      </c>
    </row>
    <row r="43" spans="1:12" x14ac:dyDescent="0.25">
      <c r="A43" s="1" t="s">
        <v>23</v>
      </c>
      <c r="B43" s="3">
        <v>4475</v>
      </c>
      <c r="C43" s="3">
        <v>5275</v>
      </c>
      <c r="D43" s="3">
        <v>5942.3</v>
      </c>
      <c r="E43" s="3">
        <v>6942.3</v>
      </c>
      <c r="F43" s="3">
        <v>6017.3</v>
      </c>
      <c r="G43" s="3">
        <v>6367.3</v>
      </c>
      <c r="H43" s="3">
        <v>5817.3</v>
      </c>
      <c r="I43" s="3">
        <v>5900</v>
      </c>
      <c r="J43" s="3">
        <v>4550</v>
      </c>
      <c r="K43" s="3">
        <v>4200</v>
      </c>
      <c r="L43" s="3">
        <v>4200</v>
      </c>
    </row>
    <row r="44" spans="1:12" x14ac:dyDescent="0.25">
      <c r="A44" s="1" t="s">
        <v>24</v>
      </c>
      <c r="B44" s="3">
        <v>17461.900000000001</v>
      </c>
      <c r="C44" s="3">
        <v>17905.2</v>
      </c>
      <c r="D44" s="3">
        <v>17685.599999999999</v>
      </c>
      <c r="E44" s="3">
        <v>19486.099999999999</v>
      </c>
      <c r="F44" s="3">
        <v>22019.4</v>
      </c>
      <c r="G44" s="3">
        <v>24220.799999999999</v>
      </c>
      <c r="H44" s="3">
        <v>25344.799999999999</v>
      </c>
      <c r="I44" s="3">
        <v>26558.3</v>
      </c>
      <c r="J44" s="3">
        <v>28403.9</v>
      </c>
      <c r="K44" s="3">
        <v>28065.200000000001</v>
      </c>
      <c r="L44" s="3">
        <v>26085.9</v>
      </c>
    </row>
    <row r="45" spans="1:12" x14ac:dyDescent="0.25">
      <c r="A45" s="1" t="s">
        <v>3</v>
      </c>
      <c r="B45" s="3">
        <v>2427.3000000000002</v>
      </c>
      <c r="C45" s="3">
        <v>2321.6</v>
      </c>
      <c r="D45" s="3">
        <v>2252.3000000000002</v>
      </c>
      <c r="E45" s="3">
        <v>2386</v>
      </c>
      <c r="F45" s="3">
        <v>2330.1</v>
      </c>
      <c r="G45" s="3">
        <v>2316.8000000000002</v>
      </c>
      <c r="H45" s="3">
        <v>5948.1</v>
      </c>
      <c r="I45" s="3">
        <v>9072.7000000000007</v>
      </c>
      <c r="J45" s="3">
        <v>8627.1</v>
      </c>
      <c r="K45" s="3">
        <v>7874</v>
      </c>
      <c r="L45" s="3">
        <v>6053.2</v>
      </c>
    </row>
    <row r="46" spans="1:12" ht="15" customHeight="1" x14ac:dyDescent="0.25">
      <c r="A46" s="9" t="s">
        <v>26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5" customHeight="1" x14ac:dyDescent="0.25">
      <c r="A47" s="9" t="s">
        <v>27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" t="s">
        <v>28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3">
        <v>3419.3</v>
      </c>
      <c r="I48" s="1">
        <v>0</v>
      </c>
      <c r="J48" s="1">
        <v>0</v>
      </c>
      <c r="K48" s="1">
        <v>-818.6</v>
      </c>
      <c r="L48" s="3">
        <v>-1629.3</v>
      </c>
    </row>
    <row r="49" spans="1:12" x14ac:dyDescent="0.25">
      <c r="A49" s="1" t="s">
        <v>29</v>
      </c>
      <c r="B49" s="3">
        <v>7312.2</v>
      </c>
      <c r="C49" s="3">
        <v>2565.1999999999998</v>
      </c>
      <c r="D49" s="3">
        <v>1413.6</v>
      </c>
      <c r="E49" s="3">
        <v>9812.2999999999993</v>
      </c>
      <c r="F49" s="3">
        <v>8244.7999999999993</v>
      </c>
      <c r="G49" s="3">
        <v>4934.2</v>
      </c>
      <c r="H49" s="3">
        <v>4502.3999999999996</v>
      </c>
      <c r="I49" s="3">
        <v>5862.4</v>
      </c>
      <c r="J49" s="3">
        <v>5021.3</v>
      </c>
      <c r="K49" s="3">
        <v>3273.3</v>
      </c>
      <c r="L49" s="3">
        <v>4971.8999999999996</v>
      </c>
    </row>
    <row r="50" spans="1:12" x14ac:dyDescent="0.25">
      <c r="A50" s="1" t="s">
        <v>18</v>
      </c>
      <c r="B50" s="3">
        <v>1272.2</v>
      </c>
      <c r="C50" s="3">
        <v>1322</v>
      </c>
      <c r="D50" s="1">
        <v>965.8</v>
      </c>
      <c r="E50" s="3">
        <v>2211.8000000000002</v>
      </c>
      <c r="F50" s="3">
        <v>1768.2</v>
      </c>
      <c r="G50" s="3">
        <v>2382.8000000000002</v>
      </c>
      <c r="H50" s="3">
        <v>1652.4</v>
      </c>
      <c r="I50" s="3">
        <v>1582.1</v>
      </c>
      <c r="J50" s="3">
        <v>3062</v>
      </c>
      <c r="K50" s="3">
        <v>4822.8999999999996</v>
      </c>
      <c r="L50" s="3">
        <v>3303.7</v>
      </c>
    </row>
    <row r="51" spans="1:12" x14ac:dyDescent="0.25">
      <c r="A51" s="1" t="s">
        <v>19</v>
      </c>
      <c r="B51" s="1">
        <v>878.8</v>
      </c>
      <c r="C51" s="3">
        <v>1077.0999999999999</v>
      </c>
      <c r="D51" s="1">
        <v>715.1</v>
      </c>
      <c r="E51" s="3">
        <v>1731.4</v>
      </c>
      <c r="F51" s="3">
        <v>1053.5</v>
      </c>
      <c r="G51" s="3">
        <v>1671.7</v>
      </c>
      <c r="H51" s="3">
        <v>1327.5</v>
      </c>
      <c r="I51" s="3">
        <v>1290.0999999999999</v>
      </c>
      <c r="J51" s="3">
        <v>2368.6</v>
      </c>
      <c r="K51" s="3">
        <v>3907.1</v>
      </c>
      <c r="L51" s="3">
        <v>3191.1</v>
      </c>
    </row>
    <row r="52" spans="1:12" x14ac:dyDescent="0.25">
      <c r="A52" s="1" t="s">
        <v>20</v>
      </c>
      <c r="B52" s="1">
        <v>857.7</v>
      </c>
      <c r="C52" s="1">
        <v>725.7</v>
      </c>
      <c r="D52" s="1">
        <v>650.1</v>
      </c>
      <c r="E52" s="1">
        <v>858.2</v>
      </c>
      <c r="F52" s="1">
        <v>850.5</v>
      </c>
      <c r="G52" s="3">
        <v>1475</v>
      </c>
      <c r="H52" s="3">
        <v>1058.2</v>
      </c>
      <c r="I52" s="3">
        <v>1228.4000000000001</v>
      </c>
      <c r="J52" s="3">
        <v>2269.4</v>
      </c>
      <c r="K52" s="3">
        <v>1490.6</v>
      </c>
      <c r="L52" s="3">
        <v>2675.9</v>
      </c>
    </row>
    <row r="53" spans="1:12" x14ac:dyDescent="0.25">
      <c r="A53" s="1" t="s">
        <v>21</v>
      </c>
      <c r="B53" s="1">
        <v>393.4</v>
      </c>
      <c r="C53" s="1">
        <v>244.9</v>
      </c>
      <c r="D53" s="1">
        <v>250.7</v>
      </c>
      <c r="E53" s="1">
        <v>480.4</v>
      </c>
      <c r="F53" s="1">
        <v>714.6</v>
      </c>
      <c r="G53" s="1">
        <v>711.1</v>
      </c>
      <c r="H53" s="1">
        <v>325</v>
      </c>
      <c r="I53" s="1">
        <v>291.89999999999998</v>
      </c>
      <c r="J53" s="1">
        <v>693.4</v>
      </c>
      <c r="K53" s="1">
        <v>915.8</v>
      </c>
      <c r="L53" s="1">
        <v>112.7</v>
      </c>
    </row>
    <row r="54" spans="1:12" x14ac:dyDescent="0.25">
      <c r="A54" s="1" t="s">
        <v>22</v>
      </c>
      <c r="B54" s="3">
        <v>6040</v>
      </c>
      <c r="C54" s="3">
        <v>1243.2</v>
      </c>
      <c r="D54" s="1">
        <v>447.8</v>
      </c>
      <c r="E54" s="3">
        <v>7600.5</v>
      </c>
      <c r="F54" s="3">
        <v>6476.6</v>
      </c>
      <c r="G54" s="3">
        <v>2551.4</v>
      </c>
      <c r="H54" s="3">
        <v>2850</v>
      </c>
      <c r="I54" s="3">
        <v>4280.3</v>
      </c>
      <c r="J54" s="3">
        <v>1959.3</v>
      </c>
      <c r="K54" s="3">
        <v>-1549.6</v>
      </c>
      <c r="L54" s="3">
        <v>1668.1</v>
      </c>
    </row>
    <row r="55" spans="1:12" x14ac:dyDescent="0.25">
      <c r="A55" s="1" t="s">
        <v>23</v>
      </c>
      <c r="B55" s="3">
        <v>2850</v>
      </c>
      <c r="C55" s="1">
        <v>800</v>
      </c>
      <c r="D55" s="1">
        <v>667.3</v>
      </c>
      <c r="E55" s="3">
        <v>5800</v>
      </c>
      <c r="F55" s="3">
        <v>3943.4</v>
      </c>
      <c r="G55" s="1">
        <v>350</v>
      </c>
      <c r="H55" s="1">
        <v>-550</v>
      </c>
      <c r="I55" s="3">
        <v>3582.7</v>
      </c>
      <c r="J55" s="1">
        <v>337.4</v>
      </c>
      <c r="K55" s="1">
        <v>-850</v>
      </c>
      <c r="L55" s="3">
        <v>2200</v>
      </c>
    </row>
    <row r="56" spans="1:12" x14ac:dyDescent="0.25">
      <c r="A56" s="1" t="s">
        <v>30</v>
      </c>
      <c r="B56" s="3">
        <v>3190</v>
      </c>
      <c r="C56" s="1">
        <v>443.2</v>
      </c>
      <c r="D56" s="1">
        <v>-219.5</v>
      </c>
      <c r="E56" s="3">
        <v>1800.5</v>
      </c>
      <c r="F56" s="3">
        <v>2533.3000000000002</v>
      </c>
      <c r="G56" s="3">
        <v>2201.4</v>
      </c>
      <c r="H56" s="3">
        <v>3400</v>
      </c>
      <c r="I56" s="1">
        <v>697.6</v>
      </c>
      <c r="J56" s="3">
        <v>1621.9</v>
      </c>
      <c r="K56" s="1">
        <v>-699.6</v>
      </c>
      <c r="L56" s="1">
        <v>-531.9</v>
      </c>
    </row>
    <row r="57" spans="1:12" x14ac:dyDescent="0.25">
      <c r="A57" s="1" t="s">
        <v>31</v>
      </c>
      <c r="B57" s="3">
        <v>-2699.8</v>
      </c>
      <c r="C57" s="3">
        <v>-3796.1</v>
      </c>
      <c r="D57" s="3">
        <v>-2318.1</v>
      </c>
      <c r="E57" s="3">
        <v>10944.4</v>
      </c>
      <c r="F57" s="3">
        <v>-3673.6</v>
      </c>
      <c r="G57" s="3">
        <v>7060.2</v>
      </c>
      <c r="H57" s="3">
        <v>-2434.6999999999998</v>
      </c>
      <c r="I57" s="1">
        <v>150.4</v>
      </c>
      <c r="J57" s="3">
        <v>2927.8</v>
      </c>
      <c r="K57" s="3">
        <v>-3217.3</v>
      </c>
      <c r="L57" s="3">
        <v>3942.3</v>
      </c>
    </row>
    <row r="58" spans="1:12" ht="15" customHeight="1" x14ac:dyDescent="0.25">
      <c r="A58" s="9" t="s">
        <v>32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" t="s">
        <v>33</v>
      </c>
      <c r="B59" s="3">
        <v>4680.8</v>
      </c>
      <c r="C59" s="3">
        <v>3059.9</v>
      </c>
      <c r="D59" s="3">
        <v>2133.6</v>
      </c>
      <c r="E59" s="3">
        <v>1150</v>
      </c>
      <c r="F59" s="1">
        <v>-563.29999999999995</v>
      </c>
      <c r="G59" s="1">
        <v>851.2</v>
      </c>
      <c r="H59" s="1">
        <v>929.9</v>
      </c>
      <c r="I59" s="3">
        <v>2447.5</v>
      </c>
      <c r="J59" s="1">
        <v>-227.6</v>
      </c>
      <c r="K59" s="3">
        <v>1692.4</v>
      </c>
      <c r="L59" s="3">
        <v>1412</v>
      </c>
    </row>
    <row r="60" spans="1:12" x14ac:dyDescent="0.25">
      <c r="A60" s="1" t="s">
        <v>34</v>
      </c>
      <c r="B60" s="3">
        <v>1045</v>
      </c>
      <c r="C60" s="1">
        <v>-476.6</v>
      </c>
      <c r="D60" s="1">
        <v>325.10000000000002</v>
      </c>
      <c r="E60" s="3">
        <v>1360.4</v>
      </c>
      <c r="F60" s="3">
        <v>1259.2</v>
      </c>
      <c r="G60" s="3">
        <v>-1548.5</v>
      </c>
      <c r="H60" s="1">
        <v>-255.2</v>
      </c>
      <c r="I60" s="1">
        <v>71.599999999999994</v>
      </c>
      <c r="J60" s="1">
        <v>293.5</v>
      </c>
      <c r="K60" s="3">
        <v>1588.3</v>
      </c>
      <c r="L60" s="3">
        <v>1917</v>
      </c>
    </row>
    <row r="61" spans="1:12" ht="15" customHeight="1" x14ac:dyDescent="0.25">
      <c r="A61" s="9" t="s">
        <v>35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" t="s">
        <v>36</v>
      </c>
      <c r="B62" s="1">
        <v>54.1</v>
      </c>
      <c r="C62" s="1">
        <v>90.1</v>
      </c>
      <c r="D62" s="1">
        <v>110.2</v>
      </c>
      <c r="E62" s="1">
        <v>124.5</v>
      </c>
      <c r="F62" s="1">
        <v>102</v>
      </c>
      <c r="G62" s="1">
        <v>112.6</v>
      </c>
      <c r="H62" s="1">
        <v>210.4</v>
      </c>
      <c r="I62" s="1">
        <v>182.5</v>
      </c>
      <c r="J62" s="1">
        <v>145.69999999999999</v>
      </c>
      <c r="K62" s="1">
        <v>163.4</v>
      </c>
      <c r="L62" s="1">
        <v>177.1</v>
      </c>
    </row>
    <row r="63" spans="1:12" x14ac:dyDescent="0.25">
      <c r="A63" s="1" t="s">
        <v>37</v>
      </c>
      <c r="B63" s="1">
        <v>8.4</v>
      </c>
      <c r="C63" s="1">
        <v>9.4</v>
      </c>
      <c r="D63" s="1">
        <v>11</v>
      </c>
      <c r="E63" s="1">
        <v>17.7</v>
      </c>
      <c r="F63" s="1">
        <v>16.899999999999999</v>
      </c>
      <c r="G63" s="1">
        <v>17.5</v>
      </c>
      <c r="H63" s="1">
        <v>20.5</v>
      </c>
      <c r="I63" s="1">
        <v>22.3</v>
      </c>
      <c r="J63" s="1">
        <v>22.2</v>
      </c>
      <c r="K63" s="1">
        <v>29</v>
      </c>
      <c r="L63" s="1">
        <v>60</v>
      </c>
    </row>
    <row r="64" spans="1:12" x14ac:dyDescent="0.25">
      <c r="A64" s="1" t="s">
        <v>38</v>
      </c>
      <c r="B64" s="1">
        <v>2.7</v>
      </c>
      <c r="C64" s="1">
        <v>4.8</v>
      </c>
      <c r="D64" s="1">
        <v>12.8</v>
      </c>
      <c r="E64" s="1">
        <v>7.4</v>
      </c>
      <c r="F64" s="1">
        <v>8.5</v>
      </c>
      <c r="G64" s="1">
        <v>9.1999999999999993</v>
      </c>
      <c r="H64" s="1">
        <v>13.1</v>
      </c>
      <c r="I64" s="1">
        <v>15.1</v>
      </c>
      <c r="J64" s="1">
        <v>12</v>
      </c>
      <c r="K64" s="1">
        <v>15.4</v>
      </c>
      <c r="L64" s="1">
        <v>21.9</v>
      </c>
    </row>
    <row r="65" spans="1:12" x14ac:dyDescent="0.25">
      <c r="A65" s="1" t="s">
        <v>39</v>
      </c>
      <c r="B65" s="1">
        <v>27.1</v>
      </c>
      <c r="C65" s="1">
        <v>19.600000000000001</v>
      </c>
      <c r="D65" s="1">
        <v>14.9</v>
      </c>
      <c r="E65" s="1">
        <v>26.8</v>
      </c>
      <c r="F65" s="1">
        <v>19.899999999999999</v>
      </c>
      <c r="G65" s="1">
        <v>25.6</v>
      </c>
      <c r="H65" s="1">
        <v>21</v>
      </c>
      <c r="I65" s="1">
        <v>19.3</v>
      </c>
      <c r="J65" s="1">
        <v>20.9</v>
      </c>
      <c r="K65" s="1">
        <v>17.899999999999999</v>
      </c>
      <c r="L65" s="1">
        <v>20.399999999999999</v>
      </c>
    </row>
    <row r="66" spans="1:12" x14ac:dyDescent="0.25">
      <c r="A66" s="1" t="s">
        <v>40</v>
      </c>
      <c r="B66" s="1">
        <v>14.4</v>
      </c>
      <c r="C66" s="1">
        <v>16.600000000000001</v>
      </c>
      <c r="D66" s="1">
        <v>18</v>
      </c>
      <c r="E66" s="1">
        <v>15.6</v>
      </c>
      <c r="F66" s="1">
        <v>15.8</v>
      </c>
      <c r="G66" s="1">
        <v>15.4</v>
      </c>
      <c r="H66" s="1">
        <v>16.399999999999999</v>
      </c>
      <c r="I66" s="1">
        <v>15.9</v>
      </c>
      <c r="J66" s="1">
        <v>16.5</v>
      </c>
      <c r="K66" s="1">
        <v>20.6</v>
      </c>
      <c r="L66" s="1">
        <v>21.9</v>
      </c>
    </row>
    <row r="67" spans="1:12" x14ac:dyDescent="0.25">
      <c r="A67" s="1" t="s">
        <v>41</v>
      </c>
      <c r="B67" s="1">
        <v>73.400000000000006</v>
      </c>
      <c r="C67" s="1">
        <v>62.8</v>
      </c>
      <c r="D67" s="1">
        <v>62.3</v>
      </c>
      <c r="E67" s="1">
        <v>60.8</v>
      </c>
      <c r="F67" s="1">
        <v>61.7</v>
      </c>
      <c r="G67" s="1">
        <v>48.4</v>
      </c>
      <c r="H67" s="1">
        <v>43.1</v>
      </c>
      <c r="I67" s="1">
        <v>43.4</v>
      </c>
      <c r="J67" s="1">
        <v>35.700000000000003</v>
      </c>
      <c r="K67" s="1">
        <v>32.6</v>
      </c>
      <c r="L67" s="1">
        <v>37.200000000000003</v>
      </c>
    </row>
    <row r="68" spans="1:12" x14ac:dyDescent="0.25">
      <c r="A68" s="1" t="s">
        <v>42</v>
      </c>
      <c r="B68" s="3">
        <v>555021.69999999995</v>
      </c>
      <c r="C68" s="3">
        <v>480318.9</v>
      </c>
      <c r="D68" s="3">
        <v>398387.9</v>
      </c>
      <c r="E68" s="3">
        <v>367400.1</v>
      </c>
      <c r="F68" s="3">
        <v>410486.9</v>
      </c>
      <c r="G68" s="3">
        <v>465356.5</v>
      </c>
      <c r="H68" s="3">
        <v>427431.9</v>
      </c>
      <c r="I68" s="3">
        <v>432250.7</v>
      </c>
      <c r="J68" s="3">
        <v>464530.8</v>
      </c>
      <c r="K68" s="3">
        <v>352906.1</v>
      </c>
      <c r="L68" s="3">
        <v>181127.7</v>
      </c>
    </row>
    <row r="69" spans="1:12" ht="15" customHeight="1" x14ac:dyDescent="0.25">
      <c r="A69" s="9" t="s">
        <v>43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2" spans="1:12" x14ac:dyDescent="0.25">
      <c r="A72" s="4" t="s">
        <v>44</v>
      </c>
    </row>
    <row r="73" spans="1:12" x14ac:dyDescent="0.25">
      <c r="A73" s="4" t="s">
        <v>45</v>
      </c>
    </row>
    <row r="74" spans="1:12" x14ac:dyDescent="0.25">
      <c r="A74" s="4" t="s">
        <v>46</v>
      </c>
    </row>
    <row r="75" spans="1:12" x14ac:dyDescent="0.25">
      <c r="A75" s="4" t="s">
        <v>47</v>
      </c>
    </row>
  </sheetData>
  <mergeCells count="7">
    <mergeCell ref="A69:L69"/>
    <mergeCell ref="A2:L2"/>
    <mergeCell ref="A32:L32"/>
    <mergeCell ref="A46:L46"/>
    <mergeCell ref="A47:L47"/>
    <mergeCell ref="A58:L58"/>
    <mergeCell ref="A61:L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F18C-B301-46BB-84BC-DE8E41A20F42}">
  <dimension ref="A1:G39"/>
  <sheetViews>
    <sheetView topLeftCell="A20" workbookViewId="0">
      <selection activeCell="A31" sqref="A31"/>
    </sheetView>
  </sheetViews>
  <sheetFormatPr defaultRowHeight="15" x14ac:dyDescent="0.25"/>
  <cols>
    <col min="1" max="1" width="16" customWidth="1"/>
    <col min="2" max="3" width="38" bestFit="1" customWidth="1"/>
    <col min="4" max="4" width="7.7109375" customWidth="1"/>
    <col min="5" max="5" width="30" customWidth="1"/>
    <col min="6" max="6" width="32.28515625" customWidth="1"/>
    <col min="7" max="7" width="34.42578125" customWidth="1"/>
    <col min="8" max="10" width="9.140625" bestFit="1" customWidth="1"/>
    <col min="11" max="12" width="10.140625" bestFit="1" customWidth="1"/>
    <col min="13" max="13" width="11.28515625" bestFit="1" customWidth="1"/>
    <col min="14" max="14" width="9.140625" bestFit="1" customWidth="1"/>
    <col min="15" max="15" width="14.140625" bestFit="1" customWidth="1"/>
    <col min="16" max="16" width="9.140625" bestFit="1" customWidth="1"/>
    <col min="17" max="17" width="14.140625" bestFit="1" customWidth="1"/>
    <col min="18" max="18" width="10.140625" bestFit="1" customWidth="1"/>
    <col min="19" max="19" width="14.140625" bestFit="1" customWidth="1"/>
    <col min="20" max="20" width="10.140625" bestFit="1" customWidth="1"/>
    <col min="21" max="21" width="14.140625" bestFit="1" customWidth="1"/>
    <col min="22" max="22" width="10.140625" bestFit="1" customWidth="1"/>
    <col min="23" max="23" width="14.140625" bestFit="1" customWidth="1"/>
    <col min="24" max="24" width="11.28515625" bestFit="1" customWidth="1"/>
    <col min="25" max="25" width="14.140625" bestFit="1" customWidth="1"/>
    <col min="26" max="26" width="10.140625" bestFit="1" customWidth="1"/>
    <col min="27" max="27" width="13.140625" bestFit="1" customWidth="1"/>
    <col min="28" max="28" width="14.140625" bestFit="1" customWidth="1"/>
    <col min="29" max="29" width="10.140625" bestFit="1" customWidth="1"/>
    <col min="30" max="30" width="13.140625" bestFit="1" customWidth="1"/>
    <col min="31" max="31" width="14.140625" bestFit="1" customWidth="1"/>
    <col min="32" max="32" width="10.140625" bestFit="1" customWidth="1"/>
    <col min="33" max="33" width="13.140625" bestFit="1" customWidth="1"/>
    <col min="34" max="34" width="14.140625" bestFit="1" customWidth="1"/>
    <col min="35" max="35" width="11.28515625" bestFit="1" customWidth="1"/>
    <col min="36" max="36" width="39.7109375" bestFit="1" customWidth="1"/>
    <col min="37" max="37" width="39.28515625" bestFit="1" customWidth="1"/>
    <col min="38" max="38" width="30.85546875" bestFit="1" customWidth="1"/>
    <col min="39" max="39" width="30.42578125" bestFit="1" customWidth="1"/>
    <col min="40" max="40" width="39.7109375" bestFit="1" customWidth="1"/>
    <col min="41" max="41" width="39.28515625" bestFit="1" customWidth="1"/>
    <col min="42" max="42" width="30.85546875" bestFit="1" customWidth="1"/>
    <col min="43" max="43" width="30.42578125" bestFit="1" customWidth="1"/>
    <col min="44" max="44" width="39.7109375" bestFit="1" customWidth="1"/>
    <col min="45" max="45" width="39.28515625" bestFit="1" customWidth="1"/>
    <col min="46" max="46" width="35.85546875" bestFit="1" customWidth="1"/>
    <col min="47" max="47" width="35.42578125" bestFit="1" customWidth="1"/>
  </cols>
  <sheetData>
    <row r="1" spans="1:7" x14ac:dyDescent="0.25">
      <c r="A1" s="6" t="s">
        <v>68</v>
      </c>
      <c r="B1" t="s">
        <v>71</v>
      </c>
      <c r="F1" s="5" t="s">
        <v>48</v>
      </c>
      <c r="G1" s="5" t="s">
        <v>70</v>
      </c>
    </row>
    <row r="2" spans="1:7" x14ac:dyDescent="0.25">
      <c r="A2" s="8">
        <v>4132.5</v>
      </c>
      <c r="B2" s="2">
        <v>1567.3</v>
      </c>
      <c r="F2" s="7">
        <v>2014</v>
      </c>
      <c r="G2" s="2">
        <v>46672.5</v>
      </c>
    </row>
    <row r="3" spans="1:7" x14ac:dyDescent="0.25">
      <c r="A3" s="8">
        <v>5546.4</v>
      </c>
      <c r="B3" s="2">
        <v>4132.8</v>
      </c>
      <c r="F3" s="7">
        <v>2015</v>
      </c>
      <c r="G3" s="2">
        <v>45024.800000000003</v>
      </c>
    </row>
    <row r="4" spans="1:7" x14ac:dyDescent="0.25">
      <c r="A4" s="8">
        <v>7498.1</v>
      </c>
      <c r="B4" s="2">
        <v>4224.8</v>
      </c>
      <c r="F4" s="7">
        <v>2016</v>
      </c>
      <c r="G4" s="2">
        <v>43735.9</v>
      </c>
    </row>
    <row r="5" spans="1:7" x14ac:dyDescent="0.25">
      <c r="A5" s="8">
        <v>7752.2</v>
      </c>
      <c r="B5" s="2">
        <v>3249.8</v>
      </c>
      <c r="F5" s="7">
        <v>2017</v>
      </c>
      <c r="G5" s="2">
        <v>65142.8</v>
      </c>
    </row>
    <row r="6" spans="1:7" x14ac:dyDescent="0.25">
      <c r="A6" s="8">
        <v>8968</v>
      </c>
      <c r="B6" s="2">
        <v>1655.9</v>
      </c>
      <c r="F6" s="7">
        <v>2018</v>
      </c>
      <c r="G6" s="2">
        <v>69440.3</v>
      </c>
    </row>
    <row r="7" spans="1:7" x14ac:dyDescent="0.25">
      <c r="A7" s="8">
        <v>9194.6</v>
      </c>
      <c r="B7" s="2">
        <v>4260.3</v>
      </c>
      <c r="F7" s="7">
        <v>2019</v>
      </c>
      <c r="G7" s="2">
        <v>81342.8</v>
      </c>
    </row>
    <row r="8" spans="1:7" x14ac:dyDescent="0.25">
      <c r="A8" s="8">
        <v>10067.1</v>
      </c>
      <c r="B8" s="2">
        <v>5045.8</v>
      </c>
      <c r="F8" s="7">
        <v>2020</v>
      </c>
      <c r="G8" s="2">
        <v>87591.2</v>
      </c>
    </row>
    <row r="9" spans="1:7" x14ac:dyDescent="0.25">
      <c r="A9" s="8">
        <v>11708.1</v>
      </c>
      <c r="B9" s="2">
        <v>5845.7</v>
      </c>
      <c r="F9" s="7">
        <v>2021</v>
      </c>
      <c r="G9" s="2">
        <v>96254.7</v>
      </c>
    </row>
    <row r="10" spans="1:7" x14ac:dyDescent="0.25">
      <c r="A10" s="8">
        <v>11924.1</v>
      </c>
      <c r="B10" s="2">
        <v>6952.2</v>
      </c>
      <c r="F10" s="7">
        <v>2022</v>
      </c>
      <c r="G10" s="2">
        <v>103064.2</v>
      </c>
    </row>
    <row r="11" spans="1:7" x14ac:dyDescent="0.25">
      <c r="A11" s="8">
        <v>11967.5</v>
      </c>
      <c r="B11" s="2">
        <v>3722.7</v>
      </c>
      <c r="F11" s="7">
        <v>2023</v>
      </c>
      <c r="G11" s="2">
        <v>102472.8</v>
      </c>
    </row>
    <row r="12" spans="1:7" x14ac:dyDescent="0.25">
      <c r="A12" s="8">
        <v>12287.8</v>
      </c>
      <c r="B12" s="2">
        <v>2475.5</v>
      </c>
      <c r="F12" s="7">
        <v>2024</v>
      </c>
      <c r="G12" s="2">
        <v>108757.6</v>
      </c>
    </row>
    <row r="13" spans="1:7" x14ac:dyDescent="0.25">
      <c r="A13" s="8" t="s">
        <v>69</v>
      </c>
      <c r="B13" s="2">
        <v>43132.799999999996</v>
      </c>
    </row>
    <row r="14" spans="1:7" x14ac:dyDescent="0.25">
      <c r="E14" s="5" t="s">
        <v>48</v>
      </c>
      <c r="F14" s="5" t="s">
        <v>53</v>
      </c>
      <c r="G14" s="5" t="s">
        <v>55</v>
      </c>
    </row>
    <row r="15" spans="1:7" x14ac:dyDescent="0.25">
      <c r="A15" s="5" t="s">
        <v>48</v>
      </c>
      <c r="B15" s="5" t="s">
        <v>72</v>
      </c>
      <c r="C15" s="5" t="s">
        <v>73</v>
      </c>
      <c r="E15" s="7">
        <v>2014</v>
      </c>
      <c r="F15" s="2">
        <v>1910.1</v>
      </c>
      <c r="G15" s="2">
        <v>7058</v>
      </c>
    </row>
    <row r="16" spans="1:7" x14ac:dyDescent="0.25">
      <c r="A16" s="7">
        <v>2014</v>
      </c>
      <c r="B16" s="2">
        <v>8968</v>
      </c>
      <c r="C16" s="2">
        <v>1655.9</v>
      </c>
      <c r="E16" s="7">
        <v>2015</v>
      </c>
      <c r="F16" s="2">
        <v>1436.7</v>
      </c>
      <c r="G16" s="2">
        <v>2695.7</v>
      </c>
    </row>
    <row r="17" spans="1:7" x14ac:dyDescent="0.25">
      <c r="A17" s="7">
        <v>2015</v>
      </c>
      <c r="B17" s="2">
        <v>4132.5</v>
      </c>
      <c r="C17" s="2">
        <v>1567.3</v>
      </c>
      <c r="E17" s="7">
        <v>2016</v>
      </c>
      <c r="F17" s="2">
        <v>1145.5999999999999</v>
      </c>
      <c r="G17" s="2">
        <v>4400.8</v>
      </c>
    </row>
    <row r="18" spans="1:7" x14ac:dyDescent="0.25">
      <c r="A18" s="7">
        <v>2016</v>
      </c>
      <c r="B18" s="2">
        <v>5546.4</v>
      </c>
      <c r="C18" s="2">
        <v>4132.8</v>
      </c>
      <c r="E18" s="7">
        <v>2017</v>
      </c>
      <c r="F18" s="2">
        <v>7149.1</v>
      </c>
      <c r="G18" s="2">
        <v>5138.7</v>
      </c>
    </row>
    <row r="19" spans="1:7" x14ac:dyDescent="0.25">
      <c r="A19" s="7">
        <v>2017</v>
      </c>
      <c r="B19" s="2">
        <v>12287.8</v>
      </c>
      <c r="C19" s="2">
        <v>2475.5</v>
      </c>
      <c r="E19" s="7">
        <v>2018</v>
      </c>
      <c r="F19" s="2">
        <v>7371.7</v>
      </c>
      <c r="G19" s="2">
        <v>4595.8999999999996</v>
      </c>
    </row>
    <row r="20" spans="1:7" x14ac:dyDescent="0.25">
      <c r="A20" s="7">
        <v>2018</v>
      </c>
      <c r="B20" s="2">
        <v>11967.5</v>
      </c>
      <c r="C20" s="2">
        <v>3722.7</v>
      </c>
      <c r="E20" s="7">
        <v>2019</v>
      </c>
      <c r="F20" s="2">
        <v>2678</v>
      </c>
      <c r="G20" s="2">
        <v>6516.6</v>
      </c>
    </row>
    <row r="21" spans="1:7" x14ac:dyDescent="0.25">
      <c r="A21" s="7">
        <v>2019</v>
      </c>
      <c r="B21" s="2">
        <v>9194.6</v>
      </c>
      <c r="C21" s="2">
        <v>4260.3</v>
      </c>
      <c r="E21" s="7">
        <v>2020</v>
      </c>
      <c r="F21" s="2">
        <v>4378.8</v>
      </c>
      <c r="G21" s="2">
        <v>3373.4</v>
      </c>
    </row>
    <row r="22" spans="1:7" x14ac:dyDescent="0.25">
      <c r="A22" s="7">
        <v>2020</v>
      </c>
      <c r="B22" s="2">
        <v>7752.2</v>
      </c>
      <c r="C22" s="2">
        <v>3249.8</v>
      </c>
      <c r="E22" s="7">
        <v>2021</v>
      </c>
      <c r="F22" s="2">
        <v>6093.2</v>
      </c>
      <c r="G22" s="2">
        <v>5614.9</v>
      </c>
    </row>
    <row r="23" spans="1:7" x14ac:dyDescent="0.25">
      <c r="A23" s="7">
        <v>2021</v>
      </c>
      <c r="B23" s="2">
        <v>11708.1</v>
      </c>
      <c r="C23" s="2">
        <v>5845.7</v>
      </c>
      <c r="E23" s="7">
        <v>2022</v>
      </c>
      <c r="F23" s="2">
        <v>5953</v>
      </c>
      <c r="G23" s="2">
        <v>4114.1000000000004</v>
      </c>
    </row>
    <row r="24" spans="1:7" x14ac:dyDescent="0.25">
      <c r="A24" s="7">
        <v>2022</v>
      </c>
      <c r="B24" s="2">
        <v>10067.1</v>
      </c>
      <c r="C24" s="2">
        <v>5045.8</v>
      </c>
      <c r="E24" s="7">
        <v>2023</v>
      </c>
      <c r="F24" s="2">
        <v>5621.8</v>
      </c>
      <c r="G24" s="2">
        <v>1876.3</v>
      </c>
    </row>
    <row r="25" spans="1:7" x14ac:dyDescent="0.25">
      <c r="A25" s="7">
        <v>2023</v>
      </c>
      <c r="B25" s="2">
        <v>7498.1</v>
      </c>
      <c r="C25" s="2">
        <v>4224.8</v>
      </c>
      <c r="E25" s="7">
        <v>2024</v>
      </c>
      <c r="F25" s="2">
        <v>8495.2999999999993</v>
      </c>
      <c r="G25" s="2">
        <v>3428.8</v>
      </c>
    </row>
    <row r="26" spans="1:7" x14ac:dyDescent="0.25">
      <c r="A26" s="7">
        <v>2024</v>
      </c>
      <c r="B26" s="2">
        <v>11924.1</v>
      </c>
      <c r="C26" s="2">
        <v>6952.2</v>
      </c>
    </row>
    <row r="28" spans="1:7" x14ac:dyDescent="0.25">
      <c r="A28" s="5" t="s">
        <v>72</v>
      </c>
      <c r="B28" s="5" t="s">
        <v>74</v>
      </c>
    </row>
    <row r="29" spans="1:7" x14ac:dyDescent="0.25">
      <c r="A29" s="8">
        <v>4132.5</v>
      </c>
      <c r="B29" s="2">
        <v>1567.3</v>
      </c>
    </row>
    <row r="30" spans="1:7" x14ac:dyDescent="0.25">
      <c r="A30" s="8">
        <v>5546.4</v>
      </c>
      <c r="B30" s="2">
        <v>4132.8</v>
      </c>
    </row>
    <row r="31" spans="1:7" x14ac:dyDescent="0.25">
      <c r="A31" s="8">
        <v>7498.1</v>
      </c>
      <c r="B31" s="2">
        <v>4224.8</v>
      </c>
    </row>
    <row r="32" spans="1:7" x14ac:dyDescent="0.25">
      <c r="A32" s="8">
        <v>7752.2</v>
      </c>
      <c r="B32" s="2">
        <v>3249.8</v>
      </c>
    </row>
    <row r="33" spans="1:2" x14ac:dyDescent="0.25">
      <c r="A33" s="8">
        <v>8968</v>
      </c>
      <c r="B33" s="2">
        <v>1655.9</v>
      </c>
    </row>
    <row r="34" spans="1:2" x14ac:dyDescent="0.25">
      <c r="A34" s="8">
        <v>9194.6</v>
      </c>
      <c r="B34" s="2">
        <v>4260.3</v>
      </c>
    </row>
    <row r="35" spans="1:2" x14ac:dyDescent="0.25">
      <c r="A35" s="8">
        <v>10067.1</v>
      </c>
      <c r="B35" s="2">
        <v>5045.8</v>
      </c>
    </row>
    <row r="36" spans="1:2" x14ac:dyDescent="0.25">
      <c r="A36" s="8">
        <v>11708.1</v>
      </c>
      <c r="B36" s="2">
        <v>5845.7</v>
      </c>
    </row>
    <row r="37" spans="1:2" x14ac:dyDescent="0.25">
      <c r="A37" s="8">
        <v>11924.1</v>
      </c>
      <c r="B37" s="2">
        <v>6952.2</v>
      </c>
    </row>
    <row r="38" spans="1:2" x14ac:dyDescent="0.25">
      <c r="A38" s="8">
        <v>11967.5</v>
      </c>
      <c r="B38" s="2">
        <v>3722.7</v>
      </c>
    </row>
    <row r="39" spans="1:2" x14ac:dyDescent="0.25">
      <c r="A39" s="8">
        <v>12287.8</v>
      </c>
      <c r="B39" s="2">
        <v>2475.5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BB27-2D0A-468A-BC3D-2745A7D4AC82}">
  <dimension ref="B1:O2"/>
  <sheetViews>
    <sheetView tabSelected="1" workbookViewId="0">
      <selection activeCell="K15" sqref="K15"/>
    </sheetView>
  </sheetViews>
  <sheetFormatPr defaultRowHeight="15" x14ac:dyDescent="0.25"/>
  <cols>
    <col min="2" max="2" width="21" customWidth="1"/>
    <col min="7" max="7" width="21.85546875" customWidth="1"/>
    <col min="11" max="11" width="18.7109375" customWidth="1"/>
    <col min="15" max="15" width="21" customWidth="1"/>
  </cols>
  <sheetData>
    <row r="1" spans="2:15" x14ac:dyDescent="0.25">
      <c r="B1" s="2" t="s">
        <v>75</v>
      </c>
      <c r="G1" t="s">
        <v>76</v>
      </c>
      <c r="K1" t="s">
        <v>77</v>
      </c>
      <c r="O1" t="s">
        <v>78</v>
      </c>
    </row>
    <row r="2" spans="2:15" x14ac:dyDescent="0.25">
      <c r="B2" s="2">
        <f>Table2[[#Totals],[Total External debt stocks]]</f>
        <v>849499.6</v>
      </c>
      <c r="G2" s="2">
        <f>Table2[[#Totals],[Disbursements (long-term)]]</f>
        <v>101046.40000000001</v>
      </c>
      <c r="K2" s="2">
        <f>Table2[[#Totals],[Principal repayments (long-term)]]</f>
        <v>43132.799999999996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2B4B-FC09-43F1-888B-D7B96A40E5EE}">
  <dimension ref="A1:BT72"/>
  <sheetViews>
    <sheetView topLeftCell="BQ1" workbookViewId="0">
      <selection activeCell="BT15" sqref="BT15"/>
    </sheetView>
  </sheetViews>
  <sheetFormatPr defaultRowHeight="15" x14ac:dyDescent="0.25"/>
  <cols>
    <col min="1" max="1" width="45.28515625" customWidth="1"/>
    <col min="2" max="2" width="11.5703125" customWidth="1"/>
    <col min="3" max="3" width="11.85546875" customWidth="1"/>
    <col min="4" max="4" width="11.28515625" customWidth="1"/>
    <col min="5" max="5" width="11.42578125" customWidth="1"/>
    <col min="6" max="6" width="10.5703125" customWidth="1"/>
    <col min="7" max="7" width="11" customWidth="1"/>
    <col min="8" max="8" width="10.5703125" customWidth="1"/>
    <col min="9" max="9" width="11" customWidth="1"/>
    <col min="10" max="10" width="10" customWidth="1"/>
    <col min="11" max="11" width="10.85546875" customWidth="1"/>
    <col min="12" max="12" width="12.85546875" customWidth="1"/>
    <col min="15" max="15" width="25.7109375" customWidth="1"/>
    <col min="16" max="16" width="36.140625" customWidth="1"/>
    <col min="17" max="17" width="24.7109375" customWidth="1"/>
    <col min="18" max="18" width="14.42578125" customWidth="1"/>
    <col min="19" max="19" width="30.5703125" customWidth="1"/>
    <col min="20" max="20" width="40.140625" customWidth="1"/>
    <col min="21" max="21" width="29.28515625" customWidth="1"/>
    <col min="22" max="22" width="25.28515625" customWidth="1"/>
    <col min="23" max="23" width="27.140625" customWidth="1"/>
    <col min="24" max="24" width="34.7109375" customWidth="1"/>
    <col min="25" max="25" width="31.5703125" customWidth="1"/>
    <col min="26" max="26" width="41.140625" customWidth="1"/>
    <col min="27" max="27" width="30.28515625" customWidth="1"/>
    <col min="28" max="28" width="32.5703125" customWidth="1"/>
    <col min="29" max="29" width="27.28515625" customWidth="1"/>
    <col min="30" max="30" width="31.5703125" customWidth="1"/>
    <col min="31" max="31" width="30.28515625" customWidth="1"/>
    <col min="32" max="32" width="30" customWidth="1"/>
    <col min="33" max="33" width="36.140625" customWidth="1"/>
    <col min="34" max="34" width="15.42578125" customWidth="1"/>
    <col min="35" max="35" width="32.5703125" customWidth="1"/>
    <col min="36" max="36" width="31.28515625" customWidth="1"/>
    <col min="37" max="37" width="43.28515625" customWidth="1"/>
    <col min="38" max="38" width="30.42578125" customWidth="1"/>
    <col min="39" max="39" width="40.140625" customWidth="1"/>
    <col min="40" max="40" width="17.85546875" customWidth="1"/>
    <col min="41" max="41" width="13.7109375" customWidth="1"/>
    <col min="42" max="42" width="22" customWidth="1"/>
    <col min="43" max="43" width="10.5703125" customWidth="1"/>
    <col min="44" max="44" width="17.7109375" customWidth="1"/>
    <col min="45" max="45" width="24" customWidth="1"/>
    <col min="46" max="46" width="29.140625" customWidth="1"/>
    <col min="47" max="47" width="34.140625" customWidth="1"/>
    <col min="48" max="48" width="27.5703125" customWidth="1"/>
    <col min="49" max="49" width="31.140625" customWidth="1"/>
    <col min="50" max="50" width="21.42578125" customWidth="1"/>
    <col min="51" max="51" width="18" customWidth="1"/>
    <col min="52" max="52" width="18.5703125" customWidth="1"/>
    <col min="53" max="53" width="12.28515625" customWidth="1"/>
    <col min="54" max="54" width="28.42578125" customWidth="1"/>
    <col min="55" max="55" width="24.42578125" customWidth="1"/>
    <col min="56" max="56" width="32.42578125" customWidth="1"/>
    <col min="57" max="57" width="21.140625" customWidth="1"/>
    <col min="58" max="58" width="27.7109375" customWidth="1"/>
    <col min="59" max="59" width="24.7109375" customWidth="1"/>
    <col min="60" max="60" width="24.140625" customWidth="1"/>
    <col min="61" max="61" width="12.85546875" customWidth="1"/>
    <col min="62" max="62" width="19.5703125" customWidth="1"/>
    <col min="63" max="63" width="26" customWidth="1"/>
    <col min="64" max="64" width="17.140625" customWidth="1"/>
    <col min="65" max="65" width="12.85546875" customWidth="1"/>
    <col min="66" max="66" width="33.7109375" customWidth="1"/>
    <col min="67" max="67" width="30.42578125" customWidth="1"/>
    <col min="68" max="68" width="27" customWidth="1"/>
    <col min="69" max="69" width="36.85546875" customWidth="1"/>
    <col min="70" max="70" width="37.7109375" customWidth="1"/>
    <col min="71" max="71" width="35.140625" customWidth="1"/>
    <col min="72" max="72" width="28.140625" customWidth="1"/>
  </cols>
  <sheetData>
    <row r="1" spans="1:72" x14ac:dyDescent="0.25">
      <c r="A1" t="s">
        <v>0</v>
      </c>
    </row>
    <row r="2" spans="1:72" x14ac:dyDescent="0.25">
      <c r="A2" t="s">
        <v>1</v>
      </c>
    </row>
    <row r="3" spans="1:72" x14ac:dyDescent="0.25">
      <c r="B3">
        <v>2014</v>
      </c>
      <c r="C3">
        <v>2015</v>
      </c>
      <c r="D3">
        <v>2016</v>
      </c>
      <c r="E3">
        <v>2017</v>
      </c>
      <c r="F3">
        <v>2018</v>
      </c>
      <c r="G3">
        <v>2019</v>
      </c>
      <c r="H3">
        <v>2020</v>
      </c>
      <c r="I3">
        <v>2021</v>
      </c>
      <c r="J3">
        <v>2022</v>
      </c>
      <c r="K3">
        <v>2023</v>
      </c>
      <c r="L3">
        <v>2024</v>
      </c>
      <c r="N3" t="s">
        <v>48</v>
      </c>
      <c r="O3" t="s">
        <v>2</v>
      </c>
      <c r="P3" t="s">
        <v>3</v>
      </c>
      <c r="Q3" t="s">
        <v>4</v>
      </c>
      <c r="R3" t="s">
        <v>6</v>
      </c>
      <c r="S3" t="s">
        <v>7</v>
      </c>
      <c r="T3" t="s">
        <v>8</v>
      </c>
      <c r="U3" t="s">
        <v>10</v>
      </c>
      <c r="V3" t="s">
        <v>11</v>
      </c>
      <c r="W3" t="s">
        <v>12</v>
      </c>
      <c r="X3" t="s">
        <v>53</v>
      </c>
      <c r="Y3" t="s">
        <v>54</v>
      </c>
      <c r="Z3" t="s">
        <v>49</v>
      </c>
      <c r="AA3" t="s">
        <v>55</v>
      </c>
      <c r="AB3" t="s">
        <v>13</v>
      </c>
      <c r="AC3" t="s">
        <v>56</v>
      </c>
      <c r="AD3" t="s">
        <v>57</v>
      </c>
      <c r="AE3" t="s">
        <v>58</v>
      </c>
      <c r="AF3" t="s">
        <v>14</v>
      </c>
      <c r="AG3" t="s">
        <v>5</v>
      </c>
      <c r="AH3" t="s">
        <v>50</v>
      </c>
      <c r="AI3" t="s">
        <v>51</v>
      </c>
      <c r="AJ3" t="s">
        <v>52</v>
      </c>
      <c r="AK3" t="s">
        <v>15</v>
      </c>
      <c r="AL3" t="s">
        <v>16</v>
      </c>
      <c r="AM3" t="s">
        <v>17</v>
      </c>
      <c r="AN3" t="s">
        <v>18</v>
      </c>
      <c r="AO3" t="s">
        <v>19</v>
      </c>
      <c r="AP3" t="s">
        <v>20</v>
      </c>
      <c r="AQ3" t="s">
        <v>21</v>
      </c>
      <c r="AR3" t="s">
        <v>22</v>
      </c>
      <c r="AS3" t="s">
        <v>59</v>
      </c>
      <c r="AT3" t="s">
        <v>24</v>
      </c>
      <c r="AU3" t="s">
        <v>25</v>
      </c>
      <c r="AV3" t="s">
        <v>60</v>
      </c>
      <c r="AW3" t="s">
        <v>61</v>
      </c>
      <c r="AX3" t="s">
        <v>26</v>
      </c>
      <c r="AY3" t="s">
        <v>27</v>
      </c>
      <c r="AZ3" t="s">
        <v>28</v>
      </c>
      <c r="BA3" t="s">
        <v>29</v>
      </c>
      <c r="BB3" t="s">
        <v>62</v>
      </c>
      <c r="BC3" t="s">
        <v>63</v>
      </c>
      <c r="BD3" t="s">
        <v>64</v>
      </c>
      <c r="BE3" t="s">
        <v>65</v>
      </c>
      <c r="BF3" t="s">
        <v>66</v>
      </c>
      <c r="BG3" t="s">
        <v>67</v>
      </c>
      <c r="BH3" t="s">
        <v>30</v>
      </c>
      <c r="BI3" t="s">
        <v>31</v>
      </c>
      <c r="BJ3" t="s">
        <v>32</v>
      </c>
      <c r="BK3" t="s">
        <v>33</v>
      </c>
      <c r="BL3" t="s">
        <v>34</v>
      </c>
      <c r="BM3" t="s">
        <v>35</v>
      </c>
      <c r="BN3" t="s">
        <v>36</v>
      </c>
      <c r="BO3" t="s">
        <v>37</v>
      </c>
      <c r="BP3" t="s">
        <v>38</v>
      </c>
      <c r="BQ3" t="s">
        <v>39</v>
      </c>
      <c r="BR3" t="s">
        <v>40</v>
      </c>
      <c r="BS3" t="s">
        <v>41</v>
      </c>
      <c r="BT3" t="s">
        <v>42</v>
      </c>
    </row>
    <row r="4" spans="1:72" x14ac:dyDescent="0.25">
      <c r="N4">
        <v>2014</v>
      </c>
      <c r="O4" s="2">
        <v>46672.5</v>
      </c>
      <c r="P4" s="2">
        <v>2427.3000000000002</v>
      </c>
      <c r="Q4" s="2">
        <v>31603.1</v>
      </c>
      <c r="R4" s="2">
        <v>9666.2000000000007</v>
      </c>
      <c r="S4" s="2">
        <v>9590.4</v>
      </c>
      <c r="T4" t="s">
        <v>9</v>
      </c>
      <c r="U4" s="2">
        <v>21936.9</v>
      </c>
      <c r="V4" s="2">
        <v>12642.1</v>
      </c>
      <c r="W4" s="2">
        <v>8968</v>
      </c>
      <c r="X4" s="2">
        <v>1910.1</v>
      </c>
      <c r="Y4" s="2">
        <v>1829.9</v>
      </c>
      <c r="Z4">
        <v>0</v>
      </c>
      <c r="AA4" s="2">
        <v>7058</v>
      </c>
      <c r="AB4" s="2">
        <v>1655.9</v>
      </c>
      <c r="AC4">
        <v>137.9</v>
      </c>
      <c r="AD4">
        <v>137.9</v>
      </c>
      <c r="AE4" s="2">
        <v>1518</v>
      </c>
      <c r="AF4">
        <v>411</v>
      </c>
      <c r="AG4">
        <v>126.1</v>
      </c>
      <c r="AH4">
        <v>126.1</v>
      </c>
      <c r="AI4">
        <v>125.9</v>
      </c>
      <c r="AJ4">
        <v>284.8</v>
      </c>
      <c r="AL4" s="2">
        <v>31603.1</v>
      </c>
      <c r="AM4" s="2">
        <v>9666.2000000000007</v>
      </c>
      <c r="AN4" s="2">
        <v>8166.2</v>
      </c>
      <c r="AO4" s="2">
        <v>6727.3</v>
      </c>
      <c r="AP4" s="2">
        <v>5778.8</v>
      </c>
      <c r="AQ4" s="2">
        <v>1438.8</v>
      </c>
      <c r="AR4" s="2">
        <v>1500</v>
      </c>
      <c r="AS4" s="2">
        <v>1500</v>
      </c>
      <c r="AT4">
        <v>0</v>
      </c>
      <c r="AU4" s="2">
        <v>21936.9</v>
      </c>
      <c r="AV4" s="2">
        <v>4475</v>
      </c>
      <c r="AW4" s="2">
        <v>17461.900000000001</v>
      </c>
      <c r="AZ4">
        <v>0</v>
      </c>
      <c r="BA4" s="2">
        <v>7312.2</v>
      </c>
      <c r="BB4" s="2">
        <v>1272.2</v>
      </c>
      <c r="BC4">
        <v>878.8</v>
      </c>
      <c r="BD4">
        <v>857.7</v>
      </c>
      <c r="BE4">
        <v>393.4</v>
      </c>
      <c r="BF4" s="2">
        <v>6040</v>
      </c>
      <c r="BG4" s="2">
        <v>2850</v>
      </c>
      <c r="BH4" s="2">
        <v>3190</v>
      </c>
      <c r="BI4" s="2">
        <v>-2699.8</v>
      </c>
      <c r="BK4" s="2">
        <v>4680.8</v>
      </c>
      <c r="BL4" s="2">
        <v>1045</v>
      </c>
      <c r="BN4">
        <v>54.1</v>
      </c>
      <c r="BO4">
        <v>8.4</v>
      </c>
      <c r="BP4">
        <v>2.7</v>
      </c>
      <c r="BQ4">
        <v>27.1</v>
      </c>
      <c r="BR4">
        <v>14.4</v>
      </c>
      <c r="BS4">
        <v>73.400000000000006</v>
      </c>
      <c r="BT4" s="2">
        <v>555021.69999999995</v>
      </c>
    </row>
    <row r="5" spans="1:72" x14ac:dyDescent="0.25">
      <c r="A5" t="s">
        <v>2</v>
      </c>
      <c r="B5" s="2">
        <v>46672.5</v>
      </c>
      <c r="C5" s="2">
        <v>45024.800000000003</v>
      </c>
      <c r="D5" s="2">
        <v>43735.9</v>
      </c>
      <c r="E5" s="2">
        <v>65142.8</v>
      </c>
      <c r="F5" s="2">
        <v>69440.3</v>
      </c>
      <c r="G5" s="2">
        <v>81342.8</v>
      </c>
      <c r="H5" s="2">
        <v>87591.2</v>
      </c>
      <c r="I5" s="2">
        <v>96254.7</v>
      </c>
      <c r="J5" s="2">
        <v>103064.2</v>
      </c>
      <c r="K5" s="2">
        <v>102472.8</v>
      </c>
      <c r="L5" s="2">
        <v>108757.6</v>
      </c>
      <c r="N5">
        <v>2015</v>
      </c>
      <c r="O5" s="2">
        <v>45024.800000000003</v>
      </c>
      <c r="P5" s="2">
        <v>2321.6</v>
      </c>
      <c r="Q5" s="2">
        <v>33857.599999999999</v>
      </c>
      <c r="R5" s="2">
        <v>10677.5</v>
      </c>
      <c r="S5" s="2">
        <v>10464</v>
      </c>
      <c r="T5" t="s">
        <v>9</v>
      </c>
      <c r="U5" s="2">
        <v>23180.2</v>
      </c>
      <c r="V5" s="2">
        <v>8845.6</v>
      </c>
      <c r="W5" s="2">
        <v>4132.5</v>
      </c>
      <c r="X5" s="2">
        <v>1436.7</v>
      </c>
      <c r="Y5" s="2">
        <v>1293.8</v>
      </c>
      <c r="Z5">
        <v>0</v>
      </c>
      <c r="AA5" s="2">
        <v>2695.7</v>
      </c>
      <c r="AB5" s="2">
        <v>1567.3</v>
      </c>
      <c r="AC5">
        <v>114.8</v>
      </c>
      <c r="AD5">
        <v>114.8</v>
      </c>
      <c r="AE5" s="2">
        <v>1452.5</v>
      </c>
      <c r="AF5">
        <v>651.70000000000005</v>
      </c>
      <c r="AG5">
        <v>282.39999999999998</v>
      </c>
      <c r="AH5">
        <v>282.39999999999998</v>
      </c>
      <c r="AI5">
        <v>281.5</v>
      </c>
      <c r="AJ5">
        <v>369.3</v>
      </c>
      <c r="AL5" s="2">
        <v>33857.599999999999</v>
      </c>
      <c r="AM5" s="2">
        <v>10677.5</v>
      </c>
      <c r="AN5" s="2">
        <v>9177.5</v>
      </c>
      <c r="AO5" s="2">
        <v>7494.8</v>
      </c>
      <c r="AP5" s="2">
        <v>6225.9</v>
      </c>
      <c r="AQ5" s="2">
        <v>1682.7</v>
      </c>
      <c r="AR5" s="2">
        <v>1500</v>
      </c>
      <c r="AS5" s="2">
        <v>1500</v>
      </c>
      <c r="AT5">
        <v>0</v>
      </c>
      <c r="AU5" s="2">
        <v>23180.2</v>
      </c>
      <c r="AV5" s="2">
        <v>5275</v>
      </c>
      <c r="AW5" s="2">
        <v>17905.2</v>
      </c>
      <c r="AZ5">
        <v>0</v>
      </c>
      <c r="BA5" s="2">
        <v>2565.1999999999998</v>
      </c>
      <c r="BB5" s="2">
        <v>1322</v>
      </c>
      <c r="BC5" s="2">
        <v>1077.0999999999999</v>
      </c>
      <c r="BD5">
        <v>725.7</v>
      </c>
      <c r="BE5">
        <v>244.9</v>
      </c>
      <c r="BF5" s="2">
        <v>1243.2</v>
      </c>
      <c r="BG5">
        <v>800</v>
      </c>
      <c r="BH5">
        <v>443.2</v>
      </c>
      <c r="BI5" s="2">
        <v>-3796.1</v>
      </c>
      <c r="BK5" s="2">
        <v>3059.9</v>
      </c>
      <c r="BL5">
        <v>-476.6</v>
      </c>
      <c r="BN5">
        <v>90.1</v>
      </c>
      <c r="BO5">
        <v>9.4</v>
      </c>
      <c r="BP5">
        <v>4.8</v>
      </c>
      <c r="BQ5">
        <v>19.600000000000001</v>
      </c>
      <c r="BR5">
        <v>16.600000000000001</v>
      </c>
      <c r="BS5">
        <v>62.8</v>
      </c>
      <c r="BT5" s="2">
        <v>480318.9</v>
      </c>
    </row>
    <row r="6" spans="1:72" x14ac:dyDescent="0.25">
      <c r="A6" t="s">
        <v>3</v>
      </c>
      <c r="B6" s="2">
        <v>2427.3000000000002</v>
      </c>
      <c r="C6" s="2">
        <v>2321.6</v>
      </c>
      <c r="D6" s="2">
        <v>2252.3000000000002</v>
      </c>
      <c r="E6" s="2">
        <v>2386</v>
      </c>
      <c r="F6" s="2">
        <v>2330.1</v>
      </c>
      <c r="G6" s="2">
        <v>2316.8000000000002</v>
      </c>
      <c r="H6" s="2">
        <v>5948.1</v>
      </c>
      <c r="I6" s="2">
        <v>9072.7000000000007</v>
      </c>
      <c r="J6" s="2">
        <v>8627.1</v>
      </c>
      <c r="K6" s="2">
        <v>7874</v>
      </c>
      <c r="L6" s="2">
        <v>6053.2</v>
      </c>
      <c r="N6">
        <v>2016</v>
      </c>
      <c r="O6" s="2">
        <v>43735.9</v>
      </c>
      <c r="P6" s="2">
        <v>2252.3000000000002</v>
      </c>
      <c r="Q6" s="2">
        <v>34956.199999999997</v>
      </c>
      <c r="R6" s="2">
        <v>11328.3</v>
      </c>
      <c r="S6" s="2">
        <v>11070.6</v>
      </c>
      <c r="T6" t="s">
        <v>9</v>
      </c>
      <c r="U6" s="2">
        <v>23627.9</v>
      </c>
      <c r="V6" s="2">
        <v>6527.5</v>
      </c>
      <c r="W6" s="2">
        <v>5546.4</v>
      </c>
      <c r="X6" s="2">
        <v>1145.5999999999999</v>
      </c>
      <c r="Y6" s="2">
        <v>1092.9000000000001</v>
      </c>
      <c r="Z6">
        <v>0</v>
      </c>
      <c r="AA6" s="2">
        <v>4400.8</v>
      </c>
      <c r="AB6" s="2">
        <v>4132.8</v>
      </c>
      <c r="AC6">
        <v>179.8</v>
      </c>
      <c r="AD6">
        <v>179.8</v>
      </c>
      <c r="AE6" s="2">
        <v>3953</v>
      </c>
      <c r="AF6">
        <v>817.7</v>
      </c>
      <c r="AG6">
        <v>175</v>
      </c>
      <c r="AH6">
        <v>175</v>
      </c>
      <c r="AI6">
        <v>173.2</v>
      </c>
      <c r="AJ6">
        <v>642.70000000000005</v>
      </c>
      <c r="AL6" s="2">
        <v>34956.199999999997</v>
      </c>
      <c r="AM6" s="2">
        <v>11328.3</v>
      </c>
      <c r="AN6" s="2">
        <v>9828.2999999999993</v>
      </c>
      <c r="AO6" s="2">
        <v>7893</v>
      </c>
      <c r="AP6" s="2">
        <v>6640</v>
      </c>
      <c r="AQ6" s="2">
        <v>1935.2</v>
      </c>
      <c r="AR6" s="2">
        <v>1500</v>
      </c>
      <c r="AS6" s="2">
        <v>1500</v>
      </c>
      <c r="AT6">
        <v>0</v>
      </c>
      <c r="AU6" s="2">
        <v>23627.9</v>
      </c>
      <c r="AV6" s="2">
        <v>5942.3</v>
      </c>
      <c r="AW6" s="2">
        <v>17685.599999999999</v>
      </c>
      <c r="AZ6">
        <v>0</v>
      </c>
      <c r="BA6" s="2">
        <v>1413.6</v>
      </c>
      <c r="BB6">
        <v>965.8</v>
      </c>
      <c r="BC6">
        <v>715.1</v>
      </c>
      <c r="BD6">
        <v>650.1</v>
      </c>
      <c r="BE6">
        <v>250.7</v>
      </c>
      <c r="BF6">
        <v>447.8</v>
      </c>
      <c r="BG6">
        <v>667.3</v>
      </c>
      <c r="BH6">
        <v>-219.5</v>
      </c>
      <c r="BI6" s="2">
        <v>-2318.1</v>
      </c>
      <c r="BK6" s="2">
        <v>2133.6</v>
      </c>
      <c r="BL6">
        <v>325.10000000000002</v>
      </c>
      <c r="BN6">
        <v>110.2</v>
      </c>
      <c r="BO6">
        <v>11</v>
      </c>
      <c r="BP6">
        <v>12.8</v>
      </c>
      <c r="BQ6">
        <v>14.9</v>
      </c>
      <c r="BR6">
        <v>18</v>
      </c>
      <c r="BS6">
        <v>62.3</v>
      </c>
      <c r="BT6" s="2">
        <v>398387.9</v>
      </c>
    </row>
    <row r="7" spans="1:72" x14ac:dyDescent="0.25">
      <c r="A7" t="s">
        <v>4</v>
      </c>
      <c r="B7" s="2">
        <v>31603.1</v>
      </c>
      <c r="C7" s="2">
        <v>33857.599999999999</v>
      </c>
      <c r="D7" s="2">
        <v>34956.199999999997</v>
      </c>
      <c r="E7" s="2">
        <v>45285</v>
      </c>
      <c r="F7" s="2">
        <v>53312</v>
      </c>
      <c r="G7" s="2">
        <v>58167.6</v>
      </c>
      <c r="H7" s="2">
        <v>63219.4</v>
      </c>
      <c r="I7" s="2">
        <v>68607.8</v>
      </c>
      <c r="J7" s="2">
        <v>72935.199999999997</v>
      </c>
      <c r="K7" s="2">
        <v>76305</v>
      </c>
      <c r="L7" s="2">
        <v>80477.399999999994</v>
      </c>
      <c r="N7">
        <v>2017</v>
      </c>
      <c r="O7" s="2">
        <v>65142.8</v>
      </c>
      <c r="P7" s="2">
        <v>2386</v>
      </c>
      <c r="Q7" s="2">
        <v>45285</v>
      </c>
      <c r="R7" s="2">
        <v>18856.599999999999</v>
      </c>
      <c r="S7" s="2">
        <v>18530.7</v>
      </c>
      <c r="T7" t="s">
        <v>9</v>
      </c>
      <c r="U7" s="2">
        <v>26428.400000000001</v>
      </c>
      <c r="V7" s="2">
        <v>17471.8</v>
      </c>
      <c r="W7" s="2">
        <v>12287.8</v>
      </c>
      <c r="X7" s="2">
        <v>7149.1</v>
      </c>
      <c r="Y7" s="2">
        <v>7097.5</v>
      </c>
      <c r="Z7">
        <v>0</v>
      </c>
      <c r="AA7" s="2">
        <v>5138.7</v>
      </c>
      <c r="AB7" s="2">
        <v>2475.5</v>
      </c>
      <c r="AC7">
        <v>137.30000000000001</v>
      </c>
      <c r="AD7">
        <v>137.30000000000001</v>
      </c>
      <c r="AE7" s="2">
        <v>2338.1999999999998</v>
      </c>
      <c r="AF7" s="2">
        <v>1048.8</v>
      </c>
      <c r="AG7">
        <v>206.7</v>
      </c>
      <c r="AH7">
        <v>206.7</v>
      </c>
      <c r="AI7">
        <v>204.6</v>
      </c>
      <c r="AJ7">
        <v>842.2</v>
      </c>
      <c r="AL7" s="2">
        <v>45285</v>
      </c>
      <c r="AM7" s="2">
        <v>18856.599999999999</v>
      </c>
      <c r="AN7" s="2">
        <v>12556.6</v>
      </c>
      <c r="AO7" s="2">
        <v>10137</v>
      </c>
      <c r="AP7" s="2">
        <v>7913</v>
      </c>
      <c r="AQ7" s="2">
        <v>2419.6</v>
      </c>
      <c r="AR7" s="2">
        <v>6300</v>
      </c>
      <c r="AS7" s="2">
        <v>6300</v>
      </c>
      <c r="AT7">
        <v>0</v>
      </c>
      <c r="AU7" s="2">
        <v>26428.400000000001</v>
      </c>
      <c r="AV7" s="2">
        <v>6942.3</v>
      </c>
      <c r="AW7" s="2">
        <v>19486.099999999999</v>
      </c>
      <c r="AZ7">
        <v>0</v>
      </c>
      <c r="BA7" s="2">
        <v>9812.2999999999993</v>
      </c>
      <c r="BB7" s="2">
        <v>2211.8000000000002</v>
      </c>
      <c r="BC7" s="2">
        <v>1731.4</v>
      </c>
      <c r="BD7">
        <v>858.2</v>
      </c>
      <c r="BE7">
        <v>480.4</v>
      </c>
      <c r="BF7" s="2">
        <v>7600.5</v>
      </c>
      <c r="BG7" s="2">
        <v>5800</v>
      </c>
      <c r="BH7" s="2">
        <v>1800.5</v>
      </c>
      <c r="BI7" s="2">
        <v>10944.4</v>
      </c>
      <c r="BK7" s="2">
        <v>1150</v>
      </c>
      <c r="BL7" s="2">
        <v>1360.4</v>
      </c>
      <c r="BN7">
        <v>124.5</v>
      </c>
      <c r="BO7">
        <v>17.7</v>
      </c>
      <c r="BP7">
        <v>7.4</v>
      </c>
      <c r="BQ7">
        <v>26.8</v>
      </c>
      <c r="BR7">
        <v>15.6</v>
      </c>
      <c r="BS7">
        <v>60.8</v>
      </c>
      <c r="BT7" s="2">
        <v>367400.1</v>
      </c>
    </row>
    <row r="8" spans="1:72" x14ac:dyDescent="0.25">
      <c r="A8" t="s">
        <v>6</v>
      </c>
      <c r="B8" s="2">
        <v>9666.2000000000007</v>
      </c>
      <c r="C8" s="2">
        <v>10677.5</v>
      </c>
      <c r="D8" s="2">
        <v>11328.3</v>
      </c>
      <c r="E8" s="2">
        <v>18856.599999999999</v>
      </c>
      <c r="F8" s="2">
        <v>25275.3</v>
      </c>
      <c r="G8" s="2">
        <v>27579.5</v>
      </c>
      <c r="H8" s="2">
        <v>32057.3</v>
      </c>
      <c r="I8" s="2">
        <v>36149.5</v>
      </c>
      <c r="J8" s="2">
        <v>39981.300000000003</v>
      </c>
      <c r="K8" s="2">
        <v>44039.9</v>
      </c>
      <c r="L8" s="2">
        <v>50191.5</v>
      </c>
      <c r="N8">
        <v>2018</v>
      </c>
      <c r="O8" s="2">
        <v>69440.3</v>
      </c>
      <c r="P8" s="2">
        <v>2330.1</v>
      </c>
      <c r="Q8" s="2">
        <v>53312</v>
      </c>
      <c r="R8" s="2">
        <v>25275.3</v>
      </c>
      <c r="S8" s="2">
        <v>24883.9</v>
      </c>
      <c r="T8" t="s">
        <v>9</v>
      </c>
      <c r="U8" s="2">
        <v>28036.7</v>
      </c>
      <c r="V8" s="2">
        <v>13798.2</v>
      </c>
      <c r="W8" s="2">
        <v>11967.5</v>
      </c>
      <c r="X8" s="2">
        <v>7371.7</v>
      </c>
      <c r="Y8" s="2">
        <v>7298.2</v>
      </c>
      <c r="Z8">
        <v>0</v>
      </c>
      <c r="AA8" s="2">
        <v>4595.8999999999996</v>
      </c>
      <c r="AB8" s="2">
        <v>3722.7</v>
      </c>
      <c r="AC8">
        <v>735.2</v>
      </c>
      <c r="AD8">
        <v>735.2</v>
      </c>
      <c r="AE8" s="2">
        <v>2987.6</v>
      </c>
      <c r="AF8" s="2">
        <v>1745.7</v>
      </c>
      <c r="AG8">
        <v>698.5</v>
      </c>
      <c r="AH8">
        <v>698.5</v>
      </c>
      <c r="AI8">
        <v>696</v>
      </c>
      <c r="AJ8" s="2">
        <v>1047.2</v>
      </c>
      <c r="AL8" s="2">
        <v>53312</v>
      </c>
      <c r="AM8" s="2">
        <v>25275.3</v>
      </c>
      <c r="AN8" s="2">
        <v>14106.9</v>
      </c>
      <c r="AO8" s="2">
        <v>10971.9</v>
      </c>
      <c r="AP8" s="2">
        <v>8557</v>
      </c>
      <c r="AQ8" s="2">
        <v>3135</v>
      </c>
      <c r="AR8" s="2">
        <v>11168.4</v>
      </c>
      <c r="AS8" s="2">
        <v>11168.4</v>
      </c>
      <c r="AT8">
        <v>0</v>
      </c>
      <c r="AU8" s="2">
        <v>28036.7</v>
      </c>
      <c r="AV8" s="2">
        <v>6017.3</v>
      </c>
      <c r="AW8" s="2">
        <v>22019.4</v>
      </c>
      <c r="AZ8">
        <v>0</v>
      </c>
      <c r="BA8" s="2">
        <v>8244.7999999999993</v>
      </c>
      <c r="BB8" s="2">
        <v>1768.2</v>
      </c>
      <c r="BC8" s="2">
        <v>1053.5</v>
      </c>
      <c r="BD8">
        <v>850.5</v>
      </c>
      <c r="BE8">
        <v>714.6</v>
      </c>
      <c r="BF8" s="2">
        <v>6476.6</v>
      </c>
      <c r="BG8" s="2">
        <v>3943.4</v>
      </c>
      <c r="BH8" s="2">
        <v>2533.3000000000002</v>
      </c>
      <c r="BI8" s="2">
        <v>-3673.6</v>
      </c>
      <c r="BK8">
        <v>-563.29999999999995</v>
      </c>
      <c r="BL8" s="2">
        <v>1259.2</v>
      </c>
      <c r="BN8">
        <v>102</v>
      </c>
      <c r="BO8">
        <v>16.899999999999999</v>
      </c>
      <c r="BP8">
        <v>8.5</v>
      </c>
      <c r="BQ8">
        <v>19.899999999999999</v>
      </c>
      <c r="BR8">
        <v>15.8</v>
      </c>
      <c r="BS8">
        <v>61.7</v>
      </c>
      <c r="BT8" s="2">
        <v>410486.9</v>
      </c>
    </row>
    <row r="9" spans="1:72" x14ac:dyDescent="0.25">
      <c r="A9" t="s">
        <v>7</v>
      </c>
      <c r="B9" s="2">
        <v>9590.4</v>
      </c>
      <c r="C9" s="2">
        <v>10464</v>
      </c>
      <c r="D9" s="2">
        <v>11070.6</v>
      </c>
      <c r="E9" s="2">
        <v>18530.7</v>
      </c>
      <c r="F9" s="2">
        <v>24883.9</v>
      </c>
      <c r="G9" s="2">
        <v>27179.3</v>
      </c>
      <c r="H9" s="2">
        <v>29244.1</v>
      </c>
      <c r="I9" s="2">
        <v>33957.9</v>
      </c>
      <c r="J9" s="2">
        <v>37611.1</v>
      </c>
      <c r="K9" s="2">
        <v>39868.800000000003</v>
      </c>
      <c r="L9" s="2">
        <v>44637.7</v>
      </c>
      <c r="N9">
        <v>2019</v>
      </c>
      <c r="O9" s="2">
        <v>81342.8</v>
      </c>
      <c r="P9" s="2">
        <v>2316.8000000000002</v>
      </c>
      <c r="Q9" s="2">
        <v>58167.6</v>
      </c>
      <c r="R9" s="2">
        <v>27579.5</v>
      </c>
      <c r="S9" s="2">
        <v>27179.3</v>
      </c>
      <c r="T9" t="s">
        <v>9</v>
      </c>
      <c r="U9" s="2">
        <v>30588.1</v>
      </c>
      <c r="V9" s="2">
        <v>20858.400000000001</v>
      </c>
      <c r="W9" s="2">
        <v>9194.6</v>
      </c>
      <c r="X9" s="2">
        <v>2678</v>
      </c>
      <c r="Y9" s="2">
        <v>2666.7</v>
      </c>
      <c r="Z9">
        <v>0</v>
      </c>
      <c r="AA9" s="2">
        <v>6516.6</v>
      </c>
      <c r="AB9" s="2">
        <v>4260.3</v>
      </c>
      <c r="AC9">
        <v>295.2</v>
      </c>
      <c r="AD9">
        <v>295.2</v>
      </c>
      <c r="AE9" s="2">
        <v>3965.1</v>
      </c>
      <c r="AF9" s="2">
        <v>2094.1999999999998</v>
      </c>
      <c r="AG9" s="2">
        <v>1095.2</v>
      </c>
      <c r="AH9" s="2">
        <v>1095.2</v>
      </c>
      <c r="AI9" s="2">
        <v>1092.2</v>
      </c>
      <c r="AJ9">
        <v>999</v>
      </c>
      <c r="AL9" s="2">
        <v>58167.6</v>
      </c>
      <c r="AM9" s="2">
        <v>27579.5</v>
      </c>
      <c r="AN9" s="2">
        <v>16411.099999999999</v>
      </c>
      <c r="AO9" s="2">
        <v>12564.8</v>
      </c>
      <c r="AP9" s="2">
        <v>9959.2000000000007</v>
      </c>
      <c r="AQ9" s="2">
        <v>3846.3</v>
      </c>
      <c r="AR9" s="2">
        <v>11168.4</v>
      </c>
      <c r="AS9" s="2">
        <v>11168.4</v>
      </c>
      <c r="AT9">
        <v>0</v>
      </c>
      <c r="AU9" s="2">
        <v>30588.1</v>
      </c>
      <c r="AV9" s="2">
        <v>6367.3</v>
      </c>
      <c r="AW9" s="2">
        <v>24220.799999999999</v>
      </c>
      <c r="AZ9">
        <v>0</v>
      </c>
      <c r="BA9" s="2">
        <v>4934.2</v>
      </c>
      <c r="BB9" s="2">
        <v>2382.8000000000002</v>
      </c>
      <c r="BC9" s="2">
        <v>1671.7</v>
      </c>
      <c r="BD9" s="2">
        <v>1475</v>
      </c>
      <c r="BE9">
        <v>711.1</v>
      </c>
      <c r="BF9" s="2">
        <v>2551.4</v>
      </c>
      <c r="BG9">
        <v>350</v>
      </c>
      <c r="BH9" s="2">
        <v>2201.4</v>
      </c>
      <c r="BI9" s="2">
        <v>7060.2</v>
      </c>
      <c r="BK9">
        <v>851.2</v>
      </c>
      <c r="BL9" s="2">
        <v>-1548.5</v>
      </c>
      <c r="BN9">
        <v>112.6</v>
      </c>
      <c r="BO9">
        <v>17.5</v>
      </c>
      <c r="BP9">
        <v>9.1999999999999993</v>
      </c>
      <c r="BQ9">
        <v>25.6</v>
      </c>
      <c r="BR9">
        <v>15.4</v>
      </c>
      <c r="BS9">
        <v>48.4</v>
      </c>
      <c r="BT9" s="2">
        <v>465356.5</v>
      </c>
    </row>
    <row r="10" spans="1:72" x14ac:dyDescent="0.25">
      <c r="A10" t="s">
        <v>8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9</v>
      </c>
      <c r="N10">
        <v>2020</v>
      </c>
      <c r="O10" s="2">
        <v>87591.2</v>
      </c>
      <c r="P10" s="2">
        <v>5948.1</v>
      </c>
      <c r="Q10" s="2">
        <v>63219.4</v>
      </c>
      <c r="R10" s="2">
        <v>32057.3</v>
      </c>
      <c r="S10" s="2">
        <v>29244.1</v>
      </c>
      <c r="T10" t="s">
        <v>9</v>
      </c>
      <c r="U10" s="2">
        <v>31162.1</v>
      </c>
      <c r="V10" s="2">
        <v>18423.8</v>
      </c>
      <c r="W10" s="2">
        <v>7752.2</v>
      </c>
      <c r="X10" s="2">
        <v>4378.8</v>
      </c>
      <c r="Y10" s="2">
        <v>2072.8000000000002</v>
      </c>
      <c r="Z10">
        <v>0</v>
      </c>
      <c r="AA10" s="2">
        <v>3373.4</v>
      </c>
      <c r="AB10" s="2">
        <v>3249.8</v>
      </c>
      <c r="AC10">
        <v>450.9</v>
      </c>
      <c r="AD10">
        <v>450.9</v>
      </c>
      <c r="AE10" s="2">
        <v>2798.9</v>
      </c>
      <c r="AF10" s="2">
        <v>1948.6</v>
      </c>
      <c r="AG10" s="2">
        <v>1115</v>
      </c>
      <c r="AH10" s="2">
        <v>1115</v>
      </c>
      <c r="AI10" s="2">
        <v>1111.9000000000001</v>
      </c>
      <c r="AJ10">
        <v>833.6</v>
      </c>
      <c r="AL10" s="2">
        <v>63219.4</v>
      </c>
      <c r="AM10" s="2">
        <v>32057.3</v>
      </c>
      <c r="AN10" s="2">
        <v>18517.7</v>
      </c>
      <c r="AO10" s="2">
        <v>14327.7</v>
      </c>
      <c r="AP10" s="2">
        <v>11415.2</v>
      </c>
      <c r="AQ10" s="2">
        <v>4190</v>
      </c>
      <c r="AR10" s="2">
        <v>13539.6</v>
      </c>
      <c r="AS10" s="2">
        <v>11168.4</v>
      </c>
      <c r="AT10" s="2">
        <v>2371.1999999999998</v>
      </c>
      <c r="AU10" s="2">
        <v>31162.1</v>
      </c>
      <c r="AV10" s="2">
        <v>5817.3</v>
      </c>
      <c r="AW10" s="2">
        <v>25344.799999999999</v>
      </c>
      <c r="AZ10" s="2">
        <v>3419.3</v>
      </c>
      <c r="BA10" s="2">
        <v>4502.3999999999996</v>
      </c>
      <c r="BB10" s="2">
        <v>1652.4</v>
      </c>
      <c r="BC10" s="2">
        <v>1327.5</v>
      </c>
      <c r="BD10" s="2">
        <v>1058.2</v>
      </c>
      <c r="BE10">
        <v>325</v>
      </c>
      <c r="BF10" s="2">
        <v>2850</v>
      </c>
      <c r="BG10">
        <v>-550</v>
      </c>
      <c r="BH10" s="2">
        <v>3400</v>
      </c>
      <c r="BI10" s="2">
        <v>-2434.6999999999998</v>
      </c>
      <c r="BK10">
        <v>929.9</v>
      </c>
      <c r="BL10">
        <v>-255.2</v>
      </c>
      <c r="BN10">
        <v>210.4</v>
      </c>
      <c r="BO10">
        <v>20.5</v>
      </c>
      <c r="BP10">
        <v>13.1</v>
      </c>
      <c r="BQ10">
        <v>21</v>
      </c>
      <c r="BR10">
        <v>16.399999999999999</v>
      </c>
      <c r="BS10">
        <v>43.1</v>
      </c>
      <c r="BT10" s="2">
        <v>427431.9</v>
      </c>
    </row>
    <row r="11" spans="1:72" x14ac:dyDescent="0.25">
      <c r="A11" t="s">
        <v>10</v>
      </c>
      <c r="B11" s="2">
        <v>21936.9</v>
      </c>
      <c r="C11" s="2">
        <v>23180.2</v>
      </c>
      <c r="D11" s="2">
        <v>23627.9</v>
      </c>
      <c r="E11" s="2">
        <v>26428.400000000001</v>
      </c>
      <c r="F11" s="2">
        <v>28036.7</v>
      </c>
      <c r="G11" s="2">
        <v>30588.1</v>
      </c>
      <c r="H11" s="2">
        <v>31162.1</v>
      </c>
      <c r="I11" s="2">
        <v>32458.3</v>
      </c>
      <c r="J11" s="2">
        <v>32953.9</v>
      </c>
      <c r="K11" s="2">
        <v>32265.200000000001</v>
      </c>
      <c r="L11" s="2">
        <v>30285.9</v>
      </c>
      <c r="N11">
        <v>2021</v>
      </c>
      <c r="O11" s="2">
        <v>96254.7</v>
      </c>
      <c r="P11" s="2">
        <v>9072.7000000000007</v>
      </c>
      <c r="Q11" s="2">
        <v>68607.8</v>
      </c>
      <c r="R11" s="2">
        <v>36149.5</v>
      </c>
      <c r="S11" s="2">
        <v>33957.9</v>
      </c>
      <c r="T11" t="s">
        <v>9</v>
      </c>
      <c r="U11" s="2">
        <v>32458.3</v>
      </c>
      <c r="V11" s="2">
        <v>18574.2</v>
      </c>
      <c r="W11" s="2">
        <v>11708.1</v>
      </c>
      <c r="X11" s="2">
        <v>6093.2</v>
      </c>
      <c r="Y11" s="2">
        <v>6093.2</v>
      </c>
      <c r="Z11">
        <v>0</v>
      </c>
      <c r="AA11" s="2">
        <v>5614.9</v>
      </c>
      <c r="AB11" s="2">
        <v>5845.7</v>
      </c>
      <c r="AC11" s="2">
        <v>1527.2</v>
      </c>
      <c r="AD11" s="2">
        <v>1011.1</v>
      </c>
      <c r="AE11" s="2">
        <v>4318.5</v>
      </c>
      <c r="AF11" s="2">
        <v>1862</v>
      </c>
      <c r="AG11" s="2">
        <v>1118.5</v>
      </c>
      <c r="AH11" s="2">
        <v>1118.5</v>
      </c>
      <c r="AI11" s="2">
        <v>1110</v>
      </c>
      <c r="AJ11">
        <v>743.5</v>
      </c>
      <c r="AL11" s="2">
        <v>68607.8</v>
      </c>
      <c r="AM11" s="2">
        <v>36149.5</v>
      </c>
      <c r="AN11" s="2">
        <v>19719</v>
      </c>
      <c r="AO11" s="2">
        <v>15260.7</v>
      </c>
      <c r="AP11" s="2">
        <v>12310.4</v>
      </c>
      <c r="AQ11" s="2">
        <v>4458.3999999999996</v>
      </c>
      <c r="AR11" s="2">
        <v>16430.5</v>
      </c>
      <c r="AS11" s="2">
        <v>14668.4</v>
      </c>
      <c r="AT11" s="2">
        <v>1762.1</v>
      </c>
      <c r="AU11" s="2">
        <v>32458.3</v>
      </c>
      <c r="AV11" s="2">
        <v>5900</v>
      </c>
      <c r="AW11" s="2">
        <v>26558.3</v>
      </c>
      <c r="AZ11">
        <v>0</v>
      </c>
      <c r="BA11" s="2">
        <v>5862.4</v>
      </c>
      <c r="BB11" s="2">
        <v>1582.1</v>
      </c>
      <c r="BC11" s="2">
        <v>1290.0999999999999</v>
      </c>
      <c r="BD11" s="2">
        <v>1228.4000000000001</v>
      </c>
      <c r="BE11">
        <v>291.89999999999998</v>
      </c>
      <c r="BF11" s="2">
        <v>4280.3</v>
      </c>
      <c r="BG11" s="2">
        <v>3582.7</v>
      </c>
      <c r="BH11">
        <v>697.6</v>
      </c>
      <c r="BI11">
        <v>150.4</v>
      </c>
      <c r="BK11" s="2">
        <v>2447.5</v>
      </c>
      <c r="BL11">
        <v>71.599999999999994</v>
      </c>
      <c r="BN11">
        <v>182.5</v>
      </c>
      <c r="BO11">
        <v>22.3</v>
      </c>
      <c r="BP11">
        <v>15.1</v>
      </c>
      <c r="BQ11">
        <v>19.3</v>
      </c>
      <c r="BR11">
        <v>15.9</v>
      </c>
      <c r="BS11">
        <v>43.4</v>
      </c>
      <c r="BT11" s="2">
        <v>432250.7</v>
      </c>
    </row>
    <row r="12" spans="1:72" x14ac:dyDescent="0.25">
      <c r="A12" t="s">
        <v>11</v>
      </c>
      <c r="B12" s="2">
        <v>12642.1</v>
      </c>
      <c r="C12" s="2">
        <v>8845.6</v>
      </c>
      <c r="D12" s="2">
        <v>6527.5</v>
      </c>
      <c r="E12" s="2">
        <v>17471.8</v>
      </c>
      <c r="F12" s="2">
        <v>13798.2</v>
      </c>
      <c r="G12" s="2">
        <v>20858.400000000001</v>
      </c>
      <c r="H12" s="2">
        <v>18423.8</v>
      </c>
      <c r="I12" s="2">
        <v>18574.2</v>
      </c>
      <c r="J12" s="2">
        <v>21502</v>
      </c>
      <c r="K12" s="2">
        <v>18293.8</v>
      </c>
      <c r="L12" s="2">
        <v>22227</v>
      </c>
      <c r="N12">
        <v>2022</v>
      </c>
      <c r="O12" s="2">
        <v>103064.2</v>
      </c>
      <c r="P12" s="2">
        <v>8627.1</v>
      </c>
      <c r="Q12" s="2">
        <v>72935.199999999997</v>
      </c>
      <c r="R12" s="2">
        <v>39981.300000000003</v>
      </c>
      <c r="S12" s="2">
        <v>37611.1</v>
      </c>
      <c r="T12" t="s">
        <v>9</v>
      </c>
      <c r="U12" s="2">
        <v>32953.9</v>
      </c>
      <c r="V12" s="2">
        <v>21502</v>
      </c>
      <c r="W12" s="2">
        <v>10067.1</v>
      </c>
      <c r="X12" s="2">
        <v>5953</v>
      </c>
      <c r="Y12" s="2">
        <v>5215.6000000000004</v>
      </c>
      <c r="Z12">
        <v>0</v>
      </c>
      <c r="AA12" s="2">
        <v>4114.1000000000004</v>
      </c>
      <c r="AB12" s="2">
        <v>5045.8</v>
      </c>
      <c r="AC12" s="2">
        <v>1427.4</v>
      </c>
      <c r="AD12">
        <v>941.2</v>
      </c>
      <c r="AE12" s="2">
        <v>3618.4</v>
      </c>
      <c r="AF12" s="2">
        <v>2349.9</v>
      </c>
      <c r="AG12" s="2">
        <v>1485.1</v>
      </c>
      <c r="AH12" s="2">
        <v>1485.1</v>
      </c>
      <c r="AI12" s="2">
        <v>1476.8</v>
      </c>
      <c r="AJ12">
        <v>864.8</v>
      </c>
      <c r="AL12" s="2">
        <v>72935.199999999997</v>
      </c>
      <c r="AM12" s="2">
        <v>39981.300000000003</v>
      </c>
      <c r="AN12" s="2">
        <v>22138.6</v>
      </c>
      <c r="AO12" s="2">
        <v>17022</v>
      </c>
      <c r="AP12" s="2">
        <v>13995.8</v>
      </c>
      <c r="AQ12" s="2">
        <v>5116.6000000000004</v>
      </c>
      <c r="AR12" s="2">
        <v>17842.7</v>
      </c>
      <c r="AS12" s="2">
        <v>16365</v>
      </c>
      <c r="AT12" s="2">
        <v>1477.7</v>
      </c>
      <c r="AU12" s="2">
        <v>32953.9</v>
      </c>
      <c r="AV12" s="2">
        <v>4550</v>
      </c>
      <c r="AW12" s="2">
        <v>28403.9</v>
      </c>
      <c r="AZ12">
        <v>0</v>
      </c>
      <c r="BA12" s="2">
        <v>5021.3</v>
      </c>
      <c r="BB12" s="2">
        <v>3062</v>
      </c>
      <c r="BC12" s="2">
        <v>2368.6</v>
      </c>
      <c r="BD12" s="2">
        <v>2269.4</v>
      </c>
      <c r="BE12">
        <v>693.4</v>
      </c>
      <c r="BF12" s="2">
        <v>1959.3</v>
      </c>
      <c r="BG12">
        <v>337.4</v>
      </c>
      <c r="BH12" s="2">
        <v>1621.9</v>
      </c>
      <c r="BI12" s="2">
        <v>2927.8</v>
      </c>
      <c r="BK12">
        <v>-227.6</v>
      </c>
      <c r="BL12">
        <v>293.5</v>
      </c>
      <c r="BN12">
        <v>145.69999999999999</v>
      </c>
      <c r="BO12">
        <v>22.2</v>
      </c>
      <c r="BP12">
        <v>12</v>
      </c>
      <c r="BQ12">
        <v>20.9</v>
      </c>
      <c r="BR12">
        <v>16.5</v>
      </c>
      <c r="BS12">
        <v>35.700000000000003</v>
      </c>
      <c r="BT12" s="2">
        <v>464530.8</v>
      </c>
    </row>
    <row r="13" spans="1:72" x14ac:dyDescent="0.25">
      <c r="A13" t="s">
        <v>12</v>
      </c>
      <c r="B13" s="2">
        <v>8968</v>
      </c>
      <c r="C13" s="2">
        <v>4132.5</v>
      </c>
      <c r="D13" s="2">
        <v>5546.4</v>
      </c>
      <c r="E13" s="2">
        <v>12287.8</v>
      </c>
      <c r="F13" s="2">
        <v>11967.5</v>
      </c>
      <c r="G13" s="2">
        <v>9194.6</v>
      </c>
      <c r="H13" s="2">
        <v>7752.2</v>
      </c>
      <c r="I13" s="2">
        <v>11708.1</v>
      </c>
      <c r="J13" s="2">
        <v>10067.1</v>
      </c>
      <c r="K13" s="2">
        <v>7498.1</v>
      </c>
      <c r="L13" s="2">
        <v>11924.1</v>
      </c>
      <c r="N13">
        <v>2023</v>
      </c>
      <c r="O13" s="2">
        <v>102472.8</v>
      </c>
      <c r="P13" s="2">
        <v>7874</v>
      </c>
      <c r="Q13" s="2">
        <v>76305</v>
      </c>
      <c r="R13" s="2">
        <v>44039.9</v>
      </c>
      <c r="S13" s="2">
        <v>39868.800000000003</v>
      </c>
      <c r="T13" t="s">
        <v>9</v>
      </c>
      <c r="U13" s="2">
        <v>32265.200000000001</v>
      </c>
      <c r="V13" s="2">
        <v>18293.8</v>
      </c>
      <c r="W13" s="2">
        <v>7498.1</v>
      </c>
      <c r="X13" s="2">
        <v>5621.8</v>
      </c>
      <c r="Y13" s="2">
        <v>3371.8</v>
      </c>
      <c r="Z13">
        <v>0</v>
      </c>
      <c r="AA13" s="2">
        <v>1876.3</v>
      </c>
      <c r="AB13" s="2">
        <v>4224.8</v>
      </c>
      <c r="AC13" s="2">
        <v>1779.6</v>
      </c>
      <c r="AD13" s="2">
        <v>1282.3</v>
      </c>
      <c r="AE13" s="2">
        <v>2445.1999999999998</v>
      </c>
      <c r="AF13" s="2">
        <v>3095.8</v>
      </c>
      <c r="AG13" s="2">
        <v>1787.8</v>
      </c>
      <c r="AH13" s="2">
        <v>1787.8</v>
      </c>
      <c r="AI13" s="2">
        <v>1671.2</v>
      </c>
      <c r="AJ13" s="2">
        <v>1308</v>
      </c>
      <c r="AL13" s="2">
        <v>76305</v>
      </c>
      <c r="AM13" s="2">
        <v>44039.9</v>
      </c>
      <c r="AN13" s="2">
        <v>27133.1</v>
      </c>
      <c r="AO13" s="2">
        <v>21096.5</v>
      </c>
      <c r="AP13" s="2">
        <v>15611.4</v>
      </c>
      <c r="AQ13" s="2">
        <v>6036.6</v>
      </c>
      <c r="AR13" s="2">
        <v>16906.8</v>
      </c>
      <c r="AS13" s="2">
        <v>15891.9</v>
      </c>
      <c r="AT13" s="2">
        <v>1014.9</v>
      </c>
      <c r="AU13" s="2">
        <v>32265.200000000001</v>
      </c>
      <c r="AV13" s="2">
        <v>4200</v>
      </c>
      <c r="AW13" s="2">
        <v>28065.200000000001</v>
      </c>
      <c r="AZ13">
        <v>-818.6</v>
      </c>
      <c r="BA13" s="2">
        <v>3273.3</v>
      </c>
      <c r="BB13" s="2">
        <v>4822.8999999999996</v>
      </c>
      <c r="BC13" s="2">
        <v>3907.1</v>
      </c>
      <c r="BD13" s="2">
        <v>1490.6</v>
      </c>
      <c r="BE13">
        <v>915.8</v>
      </c>
      <c r="BF13" s="2">
        <v>-1549.6</v>
      </c>
      <c r="BG13">
        <v>-850</v>
      </c>
      <c r="BH13">
        <v>-699.6</v>
      </c>
      <c r="BI13" s="2">
        <v>-3217.3</v>
      </c>
      <c r="BK13" s="2">
        <v>1692.4</v>
      </c>
      <c r="BL13" s="2">
        <v>1588.3</v>
      </c>
      <c r="BN13">
        <v>163.4</v>
      </c>
      <c r="BO13">
        <v>29</v>
      </c>
      <c r="BP13">
        <v>15.4</v>
      </c>
      <c r="BQ13">
        <v>17.899999999999999</v>
      </c>
      <c r="BR13">
        <v>20.6</v>
      </c>
      <c r="BS13">
        <v>32.6</v>
      </c>
      <c r="BT13" s="2">
        <v>352906.1</v>
      </c>
    </row>
    <row r="14" spans="1:72" x14ac:dyDescent="0.25">
      <c r="A14" t="s">
        <v>6</v>
      </c>
      <c r="B14" s="2">
        <v>1910.1</v>
      </c>
      <c r="C14" s="2">
        <v>1436.7</v>
      </c>
      <c r="D14" s="2">
        <v>1145.5999999999999</v>
      </c>
      <c r="E14" s="2">
        <v>7149.1</v>
      </c>
      <c r="F14" s="2">
        <v>7371.7</v>
      </c>
      <c r="G14" s="2">
        <v>2678</v>
      </c>
      <c r="H14" s="2">
        <v>4378.8</v>
      </c>
      <c r="I14" s="2">
        <v>6093.2</v>
      </c>
      <c r="J14" s="2">
        <v>5953</v>
      </c>
      <c r="K14" s="2">
        <v>5621.8</v>
      </c>
      <c r="L14" s="2">
        <v>8495.2999999999993</v>
      </c>
      <c r="N14">
        <v>2024</v>
      </c>
      <c r="O14" s="2">
        <v>108757.6</v>
      </c>
      <c r="P14" s="2">
        <v>6053.2</v>
      </c>
      <c r="Q14" s="2">
        <v>80477.399999999994</v>
      </c>
      <c r="R14" s="2">
        <v>50191.5</v>
      </c>
      <c r="S14" s="2">
        <v>44637.7</v>
      </c>
      <c r="T14" t="s">
        <v>9</v>
      </c>
      <c r="U14" s="2">
        <v>30285.9</v>
      </c>
      <c r="V14" s="2">
        <v>22227</v>
      </c>
      <c r="W14" s="2">
        <v>11924.1</v>
      </c>
      <c r="X14" s="2">
        <v>8495.2999999999993</v>
      </c>
      <c r="Y14" s="2">
        <v>6460.6</v>
      </c>
      <c r="Z14">
        <v>0</v>
      </c>
      <c r="AA14" s="2">
        <v>3428.8</v>
      </c>
      <c r="AB14" s="2">
        <v>6952.2</v>
      </c>
      <c r="AC14" s="2">
        <v>1660.6</v>
      </c>
      <c r="AD14" s="2">
        <v>1161.5</v>
      </c>
      <c r="AE14" s="2">
        <v>5291.6</v>
      </c>
      <c r="AF14" s="2">
        <v>3313.6</v>
      </c>
      <c r="AG14" s="2">
        <v>2199.3000000000002</v>
      </c>
      <c r="AH14" s="2">
        <v>2199.3000000000002</v>
      </c>
      <c r="AI14" s="2">
        <v>1849.9</v>
      </c>
      <c r="AJ14" s="2">
        <v>1114.3</v>
      </c>
      <c r="AL14" s="2">
        <v>80477.399999999994</v>
      </c>
      <c r="AM14" s="2">
        <v>50191.5</v>
      </c>
      <c r="AN14" s="2">
        <v>29897.8</v>
      </c>
      <c r="AO14" s="2">
        <v>23800.2</v>
      </c>
      <c r="AP14" s="2">
        <v>17843.099999999999</v>
      </c>
      <c r="AQ14" s="2">
        <v>6097.6</v>
      </c>
      <c r="AR14" s="2">
        <v>20293.7</v>
      </c>
      <c r="AS14" s="2">
        <v>18045.599999999999</v>
      </c>
      <c r="AT14" s="2">
        <v>2248.1999999999998</v>
      </c>
      <c r="AU14" s="2">
        <v>30285.9</v>
      </c>
      <c r="AV14" s="2">
        <v>4200</v>
      </c>
      <c r="AW14" s="2">
        <v>26085.9</v>
      </c>
      <c r="AZ14" s="2">
        <v>-1629.3</v>
      </c>
      <c r="BA14" s="2">
        <v>4971.8999999999996</v>
      </c>
      <c r="BB14" s="2">
        <v>3303.7</v>
      </c>
      <c r="BC14" s="2">
        <v>3191.1</v>
      </c>
      <c r="BD14" s="2">
        <v>2675.9</v>
      </c>
      <c r="BE14">
        <v>112.7</v>
      </c>
      <c r="BF14" s="2">
        <v>1668.1</v>
      </c>
      <c r="BG14" s="2">
        <v>2200</v>
      </c>
      <c r="BH14">
        <v>-531.9</v>
      </c>
      <c r="BI14" s="2">
        <v>3942.3</v>
      </c>
      <c r="BK14" s="2">
        <v>1412</v>
      </c>
      <c r="BL14" s="2">
        <v>1917</v>
      </c>
      <c r="BN14">
        <v>177.1</v>
      </c>
      <c r="BO14">
        <v>60</v>
      </c>
      <c r="BP14">
        <v>21.9</v>
      </c>
      <c r="BQ14">
        <v>20.399999999999999</v>
      </c>
      <c r="BR14">
        <v>21.9</v>
      </c>
      <c r="BS14">
        <v>37.200000000000003</v>
      </c>
      <c r="BT14" s="2">
        <v>181127.7</v>
      </c>
    </row>
    <row r="15" spans="1:72" x14ac:dyDescent="0.25">
      <c r="A15" t="s">
        <v>7</v>
      </c>
      <c r="B15" s="2">
        <v>1829.9</v>
      </c>
      <c r="C15" s="2">
        <v>1293.8</v>
      </c>
      <c r="D15" s="2">
        <v>1092.9000000000001</v>
      </c>
      <c r="E15" s="2">
        <v>7097.5</v>
      </c>
      <c r="F15" s="2">
        <v>7298.2</v>
      </c>
      <c r="G15" s="2">
        <v>2666.7</v>
      </c>
      <c r="H15" s="2">
        <v>2072.8000000000002</v>
      </c>
      <c r="I15" s="2">
        <v>6093.2</v>
      </c>
      <c r="J15" s="2">
        <v>5215.6000000000004</v>
      </c>
      <c r="K15" s="2">
        <v>3371.8</v>
      </c>
      <c r="L15" s="2">
        <v>6460.6</v>
      </c>
      <c r="N15" s="10"/>
      <c r="O15" s="11">
        <f>SUM(Table2[Total External debt stocks])</f>
        <v>849499.6</v>
      </c>
      <c r="P15" s="11"/>
      <c r="Q15" s="11"/>
      <c r="R15" s="11"/>
      <c r="S15" s="11"/>
      <c r="T15" s="10"/>
      <c r="U15" s="11"/>
      <c r="V15" s="11"/>
      <c r="W15" s="11">
        <f>SUBTOTAL(109,Table2[Disbursements (long-term)])</f>
        <v>101046.40000000001</v>
      </c>
      <c r="X15" s="11"/>
      <c r="Y15" s="11"/>
      <c r="Z15" s="10"/>
      <c r="AA15" s="11"/>
      <c r="AB15" s="11">
        <f>SUBTOTAL(109,Table2[Principal repayments (long-term)])</f>
        <v>43132.799999999996</v>
      </c>
      <c r="AC15" s="11"/>
      <c r="AD15" s="11"/>
      <c r="AE15" s="11"/>
      <c r="AF15" s="11"/>
      <c r="AG15" s="11"/>
      <c r="AH15" s="11"/>
      <c r="AI15" s="11"/>
      <c r="AJ15" s="10"/>
      <c r="AK15" s="10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0"/>
      <c r="AY15" s="10"/>
      <c r="AZ15" s="10"/>
      <c r="BA15" s="11"/>
      <c r="BB15" s="11"/>
      <c r="BC15" s="11"/>
      <c r="BD15" s="11"/>
      <c r="BE15" s="10"/>
      <c r="BF15" s="11"/>
      <c r="BG15" s="10"/>
      <c r="BH15" s="10"/>
      <c r="BI15" s="11"/>
      <c r="BJ15" s="10"/>
      <c r="BK15" s="11"/>
      <c r="BL15" s="10"/>
      <c r="BM15" s="10"/>
      <c r="BN15" s="10"/>
      <c r="BO15" s="10"/>
      <c r="BP15" s="10"/>
      <c r="BQ15" s="10"/>
      <c r="BR15" s="10"/>
      <c r="BS15" s="10"/>
      <c r="BT15" s="11">
        <f>SUBTOTAL(109,Table2[Gross national income (GNI)])</f>
        <v>4535219.2</v>
      </c>
    </row>
    <row r="16" spans="1:72" x14ac:dyDescent="0.25">
      <c r="A16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10</v>
      </c>
      <c r="B17" s="2">
        <v>7058</v>
      </c>
      <c r="C17" s="2">
        <v>2695.7</v>
      </c>
      <c r="D17" s="2">
        <v>4400.8</v>
      </c>
      <c r="E17" s="2">
        <v>5138.7</v>
      </c>
      <c r="F17" s="2">
        <v>4595.8999999999996</v>
      </c>
      <c r="G17" s="2">
        <v>6516.6</v>
      </c>
      <c r="H17" s="2">
        <v>3373.4</v>
      </c>
      <c r="I17" s="2">
        <v>5614.9</v>
      </c>
      <c r="J17" s="2">
        <v>4114.1000000000004</v>
      </c>
      <c r="K17" s="2">
        <v>1876.3</v>
      </c>
      <c r="L17" s="2">
        <v>3428.8</v>
      </c>
    </row>
    <row r="18" spans="1:12" x14ac:dyDescent="0.25">
      <c r="A18" t="s">
        <v>13</v>
      </c>
      <c r="B18" s="2">
        <v>1655.9</v>
      </c>
      <c r="C18" s="2">
        <v>1567.3</v>
      </c>
      <c r="D18" s="2">
        <v>4132.8</v>
      </c>
      <c r="E18" s="2">
        <v>2475.5</v>
      </c>
      <c r="F18" s="2">
        <v>3722.7</v>
      </c>
      <c r="G18" s="2">
        <v>4260.3</v>
      </c>
      <c r="H18" s="2">
        <v>3249.8</v>
      </c>
      <c r="I18" s="2">
        <v>5845.7</v>
      </c>
      <c r="J18" s="2">
        <v>5045.8</v>
      </c>
      <c r="K18" s="2">
        <v>4224.8</v>
      </c>
      <c r="L18" s="2">
        <v>6952.2</v>
      </c>
    </row>
    <row r="19" spans="1:12" x14ac:dyDescent="0.25">
      <c r="A19" t="s">
        <v>6</v>
      </c>
      <c r="B19">
        <v>137.9</v>
      </c>
      <c r="C19">
        <v>114.8</v>
      </c>
      <c r="D19">
        <v>179.8</v>
      </c>
      <c r="E19">
        <v>137.30000000000001</v>
      </c>
      <c r="F19">
        <v>735.2</v>
      </c>
      <c r="G19">
        <v>295.2</v>
      </c>
      <c r="H19">
        <v>450.9</v>
      </c>
      <c r="I19" s="2">
        <v>1527.2</v>
      </c>
      <c r="J19" s="2">
        <v>1427.4</v>
      </c>
      <c r="K19" s="2">
        <v>1779.6</v>
      </c>
      <c r="L19" s="2">
        <v>1660.6</v>
      </c>
    </row>
    <row r="20" spans="1:12" x14ac:dyDescent="0.25">
      <c r="A20" t="s">
        <v>7</v>
      </c>
      <c r="B20">
        <v>137.9</v>
      </c>
      <c r="C20">
        <v>114.8</v>
      </c>
      <c r="D20">
        <v>179.8</v>
      </c>
      <c r="E20">
        <v>137.30000000000001</v>
      </c>
      <c r="F20">
        <v>735.2</v>
      </c>
      <c r="G20">
        <v>295.2</v>
      </c>
      <c r="H20">
        <v>450.9</v>
      </c>
      <c r="I20" s="2">
        <v>1011.1</v>
      </c>
      <c r="J20">
        <v>941.2</v>
      </c>
      <c r="K20" s="2">
        <v>1282.3</v>
      </c>
      <c r="L20" s="2">
        <v>1161.5</v>
      </c>
    </row>
    <row r="21" spans="1:12" x14ac:dyDescent="0.25">
      <c r="A21" t="s">
        <v>10</v>
      </c>
      <c r="B21" s="2">
        <v>1518</v>
      </c>
      <c r="C21" s="2">
        <v>1452.5</v>
      </c>
      <c r="D21" s="2">
        <v>3953</v>
      </c>
      <c r="E21" s="2">
        <v>2338.1999999999998</v>
      </c>
      <c r="F21" s="2">
        <v>2987.6</v>
      </c>
      <c r="G21" s="2">
        <v>3965.1</v>
      </c>
      <c r="H21" s="2">
        <v>2798.9</v>
      </c>
      <c r="I21" s="2">
        <v>4318.5</v>
      </c>
      <c r="J21" s="2">
        <v>3618.4</v>
      </c>
      <c r="K21" s="2">
        <v>2445.1999999999998</v>
      </c>
      <c r="L21" s="2">
        <v>5291.6</v>
      </c>
    </row>
    <row r="22" spans="1:12" x14ac:dyDescent="0.25">
      <c r="A22" t="s">
        <v>14</v>
      </c>
      <c r="B22">
        <v>411</v>
      </c>
      <c r="C22">
        <v>651.70000000000005</v>
      </c>
      <c r="D22">
        <v>817.7</v>
      </c>
      <c r="E22" s="2">
        <v>1048.8</v>
      </c>
      <c r="F22" s="2">
        <v>1745.7</v>
      </c>
      <c r="G22" s="2">
        <v>2094.1999999999998</v>
      </c>
      <c r="H22" s="2">
        <v>1948.6</v>
      </c>
      <c r="I22" s="2">
        <v>1862</v>
      </c>
      <c r="J22" s="2">
        <v>2349.9</v>
      </c>
      <c r="K22" s="2">
        <v>3095.8</v>
      </c>
      <c r="L22" s="2">
        <v>3313.6</v>
      </c>
    </row>
    <row r="23" spans="1:12" x14ac:dyDescent="0.25">
      <c r="A23" t="s">
        <v>5</v>
      </c>
      <c r="B23">
        <v>126.1</v>
      </c>
      <c r="C23">
        <v>282.39999999999998</v>
      </c>
      <c r="D23">
        <v>175</v>
      </c>
      <c r="E23">
        <v>206.7</v>
      </c>
      <c r="F23">
        <v>698.5</v>
      </c>
      <c r="G23" s="2">
        <v>1095.2</v>
      </c>
      <c r="H23" s="2">
        <v>1115</v>
      </c>
      <c r="I23" s="2">
        <v>1118.5</v>
      </c>
      <c r="J23" s="2">
        <v>1485.1</v>
      </c>
      <c r="K23" s="2">
        <v>1787.8</v>
      </c>
      <c r="L23" s="2">
        <v>2199.3000000000002</v>
      </c>
    </row>
    <row r="24" spans="1:12" x14ac:dyDescent="0.25">
      <c r="A24" t="s">
        <v>6</v>
      </c>
      <c r="B24">
        <v>126.1</v>
      </c>
      <c r="C24">
        <v>282.39999999999998</v>
      </c>
      <c r="D24">
        <v>175</v>
      </c>
      <c r="E24">
        <v>206.7</v>
      </c>
      <c r="F24">
        <v>698.5</v>
      </c>
      <c r="G24" s="2">
        <v>1095.2</v>
      </c>
      <c r="H24" s="2">
        <v>1115</v>
      </c>
      <c r="I24" s="2">
        <v>1118.5</v>
      </c>
      <c r="J24" s="2">
        <v>1485.1</v>
      </c>
      <c r="K24" s="2">
        <v>1787.8</v>
      </c>
      <c r="L24" s="2">
        <v>2199.3000000000002</v>
      </c>
    </row>
    <row r="25" spans="1:12" x14ac:dyDescent="0.25">
      <c r="A25" t="s">
        <v>7</v>
      </c>
      <c r="B25">
        <v>125.9</v>
      </c>
      <c r="C25">
        <v>281.5</v>
      </c>
      <c r="D25">
        <v>173.2</v>
      </c>
      <c r="E25">
        <v>204.6</v>
      </c>
      <c r="F25">
        <v>696</v>
      </c>
      <c r="G25" s="2">
        <v>1092.2</v>
      </c>
      <c r="H25" s="2">
        <v>1111.9000000000001</v>
      </c>
      <c r="I25" s="2">
        <v>1110</v>
      </c>
      <c r="J25" s="2">
        <v>1476.8</v>
      </c>
      <c r="K25" s="2">
        <v>1671.2</v>
      </c>
      <c r="L25" s="2">
        <v>1849.9</v>
      </c>
    </row>
    <row r="26" spans="1:12" x14ac:dyDescent="0.25">
      <c r="A26" t="s">
        <v>10</v>
      </c>
      <c r="B26">
        <v>284.8</v>
      </c>
      <c r="C26">
        <v>369.3</v>
      </c>
      <c r="D26">
        <v>642.70000000000005</v>
      </c>
      <c r="E26">
        <v>842.2</v>
      </c>
      <c r="F26" s="2">
        <v>1047.2</v>
      </c>
      <c r="G26">
        <v>999</v>
      </c>
      <c r="H26">
        <v>833.6</v>
      </c>
      <c r="I26">
        <v>743.5</v>
      </c>
      <c r="J26">
        <v>864.8</v>
      </c>
      <c r="K26" s="2">
        <v>1308</v>
      </c>
      <c r="L26" s="2">
        <v>1114.3</v>
      </c>
    </row>
    <row r="27" spans="1:12" x14ac:dyDescent="0.25">
      <c r="A27" t="s">
        <v>15</v>
      </c>
    </row>
    <row r="28" spans="1:12" x14ac:dyDescent="0.25">
      <c r="A28" t="s">
        <v>16</v>
      </c>
      <c r="B28" s="2">
        <v>31603.1</v>
      </c>
      <c r="C28" s="2">
        <v>33857.599999999999</v>
      </c>
      <c r="D28" s="2">
        <v>34956.199999999997</v>
      </c>
      <c r="E28" s="2">
        <v>45285</v>
      </c>
      <c r="F28" s="2">
        <v>53312</v>
      </c>
      <c r="G28" s="2">
        <v>58167.6</v>
      </c>
      <c r="H28" s="2">
        <v>63219.4</v>
      </c>
      <c r="I28" s="2">
        <v>68607.8</v>
      </c>
      <c r="J28" s="2">
        <v>72935.199999999997</v>
      </c>
      <c r="K28" s="2">
        <v>76305</v>
      </c>
      <c r="L28" s="2">
        <v>80477.399999999994</v>
      </c>
    </row>
    <row r="29" spans="1:12" x14ac:dyDescent="0.25">
      <c r="A29" t="s">
        <v>17</v>
      </c>
      <c r="B29" s="2">
        <v>9666.2000000000007</v>
      </c>
      <c r="C29" s="2">
        <v>10677.5</v>
      </c>
      <c r="D29" s="2">
        <v>11328.3</v>
      </c>
      <c r="E29" s="2">
        <v>18856.599999999999</v>
      </c>
      <c r="F29" s="2">
        <v>25275.3</v>
      </c>
      <c r="G29" s="2">
        <v>27579.5</v>
      </c>
      <c r="H29" s="2">
        <v>32057.3</v>
      </c>
      <c r="I29" s="2">
        <v>36149.5</v>
      </c>
      <c r="J29" s="2">
        <v>39981.300000000003</v>
      </c>
      <c r="K29" s="2">
        <v>44039.9</v>
      </c>
      <c r="L29" s="2">
        <v>50191.5</v>
      </c>
    </row>
    <row r="30" spans="1:12" x14ac:dyDescent="0.25">
      <c r="A30" t="s">
        <v>18</v>
      </c>
      <c r="B30" s="2">
        <v>8166.2</v>
      </c>
      <c r="C30" s="2">
        <v>9177.5</v>
      </c>
      <c r="D30" s="2">
        <v>9828.2999999999993</v>
      </c>
      <c r="E30" s="2">
        <v>12556.6</v>
      </c>
      <c r="F30" s="2">
        <v>14106.9</v>
      </c>
      <c r="G30" s="2">
        <v>16411.099999999999</v>
      </c>
      <c r="H30" s="2">
        <v>18517.7</v>
      </c>
      <c r="I30" s="2">
        <v>19719</v>
      </c>
      <c r="J30" s="2">
        <v>22138.6</v>
      </c>
      <c r="K30" s="2">
        <v>27133.1</v>
      </c>
      <c r="L30" s="2">
        <v>29897.8</v>
      </c>
    </row>
    <row r="31" spans="1:12" x14ac:dyDescent="0.25">
      <c r="A31" t="s">
        <v>19</v>
      </c>
      <c r="B31" s="2">
        <v>6727.3</v>
      </c>
      <c r="C31" s="2">
        <v>7494.8</v>
      </c>
      <c r="D31" s="2">
        <v>7893</v>
      </c>
      <c r="E31" s="2">
        <v>10137</v>
      </c>
      <c r="F31" s="2">
        <v>10971.9</v>
      </c>
      <c r="G31" s="2">
        <v>12564.8</v>
      </c>
      <c r="H31" s="2">
        <v>14327.7</v>
      </c>
      <c r="I31" s="2">
        <v>15260.7</v>
      </c>
      <c r="J31" s="2">
        <v>17022</v>
      </c>
      <c r="K31" s="2">
        <v>21096.5</v>
      </c>
      <c r="L31" s="2">
        <v>23800.2</v>
      </c>
    </row>
    <row r="32" spans="1:12" x14ac:dyDescent="0.25">
      <c r="A32" t="s">
        <v>20</v>
      </c>
      <c r="B32" s="2">
        <v>5778.8</v>
      </c>
      <c r="C32" s="2">
        <v>6225.9</v>
      </c>
      <c r="D32" s="2">
        <v>6640</v>
      </c>
      <c r="E32" s="2">
        <v>7913</v>
      </c>
      <c r="F32" s="2">
        <v>8557</v>
      </c>
      <c r="G32" s="2">
        <v>9959.2000000000007</v>
      </c>
      <c r="H32" s="2">
        <v>11415.2</v>
      </c>
      <c r="I32" s="2">
        <v>12310.4</v>
      </c>
      <c r="J32" s="2">
        <v>13995.8</v>
      </c>
      <c r="K32" s="2">
        <v>15611.4</v>
      </c>
      <c r="L32" s="2">
        <v>17843.099999999999</v>
      </c>
    </row>
    <row r="33" spans="1:12" x14ac:dyDescent="0.25">
      <c r="A33" t="s">
        <v>21</v>
      </c>
      <c r="B33" s="2">
        <v>1438.8</v>
      </c>
      <c r="C33" s="2">
        <v>1682.7</v>
      </c>
      <c r="D33" s="2">
        <v>1935.2</v>
      </c>
      <c r="E33" s="2">
        <v>2419.6</v>
      </c>
      <c r="F33" s="2">
        <v>3135</v>
      </c>
      <c r="G33" s="2">
        <v>3846.3</v>
      </c>
      <c r="H33" s="2">
        <v>4190</v>
      </c>
      <c r="I33" s="2">
        <v>4458.3999999999996</v>
      </c>
      <c r="J33" s="2">
        <v>5116.6000000000004</v>
      </c>
      <c r="K33" s="2">
        <v>6036.6</v>
      </c>
      <c r="L33" s="2">
        <v>6097.6</v>
      </c>
    </row>
    <row r="34" spans="1:12" x14ac:dyDescent="0.25">
      <c r="A34" t="s">
        <v>22</v>
      </c>
      <c r="B34" s="2">
        <v>1500</v>
      </c>
      <c r="C34" s="2">
        <v>1500</v>
      </c>
      <c r="D34" s="2">
        <v>1500</v>
      </c>
      <c r="E34" s="2">
        <v>6300</v>
      </c>
      <c r="F34" s="2">
        <v>11168.4</v>
      </c>
      <c r="G34" s="2">
        <v>11168.4</v>
      </c>
      <c r="H34" s="2">
        <v>13539.6</v>
      </c>
      <c r="I34" s="2">
        <v>16430.5</v>
      </c>
      <c r="J34" s="2">
        <v>17842.7</v>
      </c>
      <c r="K34" s="2">
        <v>16906.8</v>
      </c>
      <c r="L34" s="2">
        <v>20293.7</v>
      </c>
    </row>
    <row r="35" spans="1:12" x14ac:dyDescent="0.25">
      <c r="A35" t="s">
        <v>23</v>
      </c>
      <c r="B35" s="2">
        <v>1500</v>
      </c>
      <c r="C35" s="2">
        <v>1500</v>
      </c>
      <c r="D35" s="2">
        <v>1500</v>
      </c>
      <c r="E35" s="2">
        <v>6300</v>
      </c>
      <c r="F35" s="2">
        <v>11168.4</v>
      </c>
      <c r="G35" s="2">
        <v>11168.4</v>
      </c>
      <c r="H35" s="2">
        <v>11168.4</v>
      </c>
      <c r="I35" s="2">
        <v>14668.4</v>
      </c>
      <c r="J35" s="2">
        <v>16365</v>
      </c>
      <c r="K35" s="2">
        <v>15891.9</v>
      </c>
      <c r="L35" s="2">
        <v>18045.599999999999</v>
      </c>
    </row>
    <row r="36" spans="1:12" x14ac:dyDescent="0.25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2">
        <v>2371.1999999999998</v>
      </c>
      <c r="I36" s="2">
        <v>1762.1</v>
      </c>
      <c r="J36" s="2">
        <v>1477.7</v>
      </c>
      <c r="K36" s="2">
        <v>1014.9</v>
      </c>
      <c r="L36" s="2">
        <v>2248.1999999999998</v>
      </c>
    </row>
    <row r="37" spans="1:12" x14ac:dyDescent="0.25">
      <c r="A37" t="s">
        <v>25</v>
      </c>
      <c r="B37" s="2">
        <v>21936.9</v>
      </c>
      <c r="C37" s="2">
        <v>23180.2</v>
      </c>
      <c r="D37" s="2">
        <v>23627.9</v>
      </c>
      <c r="E37" s="2">
        <v>26428.400000000001</v>
      </c>
      <c r="F37" s="2">
        <v>28036.7</v>
      </c>
      <c r="G37" s="2">
        <v>30588.1</v>
      </c>
      <c r="H37" s="2">
        <v>31162.1</v>
      </c>
      <c r="I37" s="2">
        <v>32458.3</v>
      </c>
      <c r="J37" s="2">
        <v>32953.9</v>
      </c>
      <c r="K37" s="2">
        <v>32265.200000000001</v>
      </c>
      <c r="L37" s="2">
        <v>30285.9</v>
      </c>
    </row>
    <row r="38" spans="1:12" x14ac:dyDescent="0.25">
      <c r="A38" t="s">
        <v>23</v>
      </c>
      <c r="B38" s="2">
        <v>4475</v>
      </c>
      <c r="C38" s="2">
        <v>5275</v>
      </c>
      <c r="D38" s="2">
        <v>5942.3</v>
      </c>
      <c r="E38" s="2">
        <v>6942.3</v>
      </c>
      <c r="F38" s="2">
        <v>6017.3</v>
      </c>
      <c r="G38" s="2">
        <v>6367.3</v>
      </c>
      <c r="H38" s="2">
        <v>5817.3</v>
      </c>
      <c r="I38" s="2">
        <v>5900</v>
      </c>
      <c r="J38" s="2">
        <v>4550</v>
      </c>
      <c r="K38" s="2">
        <v>4200</v>
      </c>
      <c r="L38" s="2">
        <v>4200</v>
      </c>
    </row>
    <row r="39" spans="1:12" x14ac:dyDescent="0.25">
      <c r="A39" t="s">
        <v>24</v>
      </c>
      <c r="B39" s="2">
        <v>17461.900000000001</v>
      </c>
      <c r="C39" s="2">
        <v>17905.2</v>
      </c>
      <c r="D39" s="2">
        <v>17685.599999999999</v>
      </c>
      <c r="E39" s="2">
        <v>19486.099999999999</v>
      </c>
      <c r="F39" s="2">
        <v>22019.4</v>
      </c>
      <c r="G39" s="2">
        <v>24220.799999999999</v>
      </c>
      <c r="H39" s="2">
        <v>25344.799999999999</v>
      </c>
      <c r="I39" s="2">
        <v>26558.3</v>
      </c>
      <c r="J39" s="2">
        <v>28403.9</v>
      </c>
      <c r="K39" s="2">
        <v>28065.200000000001</v>
      </c>
      <c r="L39" s="2">
        <v>26085.9</v>
      </c>
    </row>
    <row r="40" spans="1:12" x14ac:dyDescent="0.25">
      <c r="A40" t="s">
        <v>26</v>
      </c>
    </row>
    <row r="41" spans="1:12" x14ac:dyDescent="0.25">
      <c r="A41" t="s">
        <v>27</v>
      </c>
    </row>
    <row r="42" spans="1:12" x14ac:dyDescent="0.25">
      <c r="A42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2">
        <v>3419.3</v>
      </c>
      <c r="I42">
        <v>0</v>
      </c>
      <c r="J42">
        <v>0</v>
      </c>
      <c r="K42">
        <v>-818.6</v>
      </c>
      <c r="L42" s="2">
        <v>-1629.3</v>
      </c>
    </row>
    <row r="43" spans="1:12" x14ac:dyDescent="0.25">
      <c r="A43" t="s">
        <v>29</v>
      </c>
      <c r="B43" s="2">
        <v>7312.2</v>
      </c>
      <c r="C43" s="2">
        <v>2565.1999999999998</v>
      </c>
      <c r="D43" s="2">
        <v>1413.6</v>
      </c>
      <c r="E43" s="2">
        <v>9812.2999999999993</v>
      </c>
      <c r="F43" s="2">
        <v>8244.7999999999993</v>
      </c>
      <c r="G43" s="2">
        <v>4934.2</v>
      </c>
      <c r="H43" s="2">
        <v>4502.3999999999996</v>
      </c>
      <c r="I43" s="2">
        <v>5862.4</v>
      </c>
      <c r="J43" s="2">
        <v>5021.3</v>
      </c>
      <c r="K43" s="2">
        <v>3273.3</v>
      </c>
      <c r="L43" s="2">
        <v>4971.8999999999996</v>
      </c>
    </row>
    <row r="44" spans="1:12" x14ac:dyDescent="0.25">
      <c r="A44" t="s">
        <v>18</v>
      </c>
      <c r="B44" s="2">
        <v>1272.2</v>
      </c>
      <c r="C44" s="2">
        <v>1322</v>
      </c>
      <c r="D44">
        <v>965.8</v>
      </c>
      <c r="E44" s="2">
        <v>2211.8000000000002</v>
      </c>
      <c r="F44" s="2">
        <v>1768.2</v>
      </c>
      <c r="G44" s="2">
        <v>2382.8000000000002</v>
      </c>
      <c r="H44" s="2">
        <v>1652.4</v>
      </c>
      <c r="I44" s="2">
        <v>1582.1</v>
      </c>
      <c r="J44" s="2">
        <v>3062</v>
      </c>
      <c r="K44" s="2">
        <v>4822.8999999999996</v>
      </c>
      <c r="L44" s="2">
        <v>3303.7</v>
      </c>
    </row>
    <row r="45" spans="1:12" x14ac:dyDescent="0.25">
      <c r="A45" t="s">
        <v>19</v>
      </c>
      <c r="B45">
        <v>878.8</v>
      </c>
      <c r="C45" s="2">
        <v>1077.0999999999999</v>
      </c>
      <c r="D45">
        <v>715.1</v>
      </c>
      <c r="E45" s="2">
        <v>1731.4</v>
      </c>
      <c r="F45" s="2">
        <v>1053.5</v>
      </c>
      <c r="G45" s="2">
        <v>1671.7</v>
      </c>
      <c r="H45" s="2">
        <v>1327.5</v>
      </c>
      <c r="I45" s="2">
        <v>1290.0999999999999</v>
      </c>
      <c r="J45" s="2">
        <v>2368.6</v>
      </c>
      <c r="K45" s="2">
        <v>3907.1</v>
      </c>
      <c r="L45" s="2">
        <v>3191.1</v>
      </c>
    </row>
    <row r="46" spans="1:12" x14ac:dyDescent="0.25">
      <c r="A46" t="s">
        <v>20</v>
      </c>
      <c r="B46">
        <v>857.7</v>
      </c>
      <c r="C46">
        <v>725.7</v>
      </c>
      <c r="D46">
        <v>650.1</v>
      </c>
      <c r="E46">
        <v>858.2</v>
      </c>
      <c r="F46">
        <v>850.5</v>
      </c>
      <c r="G46" s="2">
        <v>1475</v>
      </c>
      <c r="H46" s="2">
        <v>1058.2</v>
      </c>
      <c r="I46" s="2">
        <v>1228.4000000000001</v>
      </c>
      <c r="J46" s="2">
        <v>2269.4</v>
      </c>
      <c r="K46" s="2">
        <v>1490.6</v>
      </c>
      <c r="L46" s="2">
        <v>2675.9</v>
      </c>
    </row>
    <row r="47" spans="1:12" x14ac:dyDescent="0.25">
      <c r="A47" t="s">
        <v>21</v>
      </c>
      <c r="B47">
        <v>393.4</v>
      </c>
      <c r="C47">
        <v>244.9</v>
      </c>
      <c r="D47">
        <v>250.7</v>
      </c>
      <c r="E47">
        <v>480.4</v>
      </c>
      <c r="F47">
        <v>714.6</v>
      </c>
      <c r="G47">
        <v>711.1</v>
      </c>
      <c r="H47">
        <v>325</v>
      </c>
      <c r="I47">
        <v>291.89999999999998</v>
      </c>
      <c r="J47">
        <v>693.4</v>
      </c>
      <c r="K47">
        <v>915.8</v>
      </c>
      <c r="L47">
        <v>112.7</v>
      </c>
    </row>
    <row r="48" spans="1:12" x14ac:dyDescent="0.25">
      <c r="A48" t="s">
        <v>22</v>
      </c>
      <c r="B48" s="2">
        <v>6040</v>
      </c>
      <c r="C48" s="2">
        <v>1243.2</v>
      </c>
      <c r="D48">
        <v>447.8</v>
      </c>
      <c r="E48" s="2">
        <v>7600.5</v>
      </c>
      <c r="F48" s="2">
        <v>6476.6</v>
      </c>
      <c r="G48" s="2">
        <v>2551.4</v>
      </c>
      <c r="H48" s="2">
        <v>2850</v>
      </c>
      <c r="I48" s="2">
        <v>4280.3</v>
      </c>
      <c r="J48" s="2">
        <v>1959.3</v>
      </c>
      <c r="K48" s="2">
        <v>-1549.6</v>
      </c>
      <c r="L48" s="2">
        <v>1668.1</v>
      </c>
    </row>
    <row r="49" spans="1:12" x14ac:dyDescent="0.25">
      <c r="A49" t="s">
        <v>23</v>
      </c>
      <c r="B49" s="2">
        <v>2850</v>
      </c>
      <c r="C49">
        <v>800</v>
      </c>
      <c r="D49">
        <v>667.3</v>
      </c>
      <c r="E49" s="2">
        <v>5800</v>
      </c>
      <c r="F49" s="2">
        <v>3943.4</v>
      </c>
      <c r="G49">
        <v>350</v>
      </c>
      <c r="H49">
        <v>-550</v>
      </c>
      <c r="I49" s="2">
        <v>3582.7</v>
      </c>
      <c r="J49">
        <v>337.4</v>
      </c>
      <c r="K49">
        <v>-850</v>
      </c>
      <c r="L49" s="2">
        <v>2200</v>
      </c>
    </row>
    <row r="50" spans="1:12" x14ac:dyDescent="0.25">
      <c r="A50" t="s">
        <v>30</v>
      </c>
      <c r="B50" s="2">
        <v>3190</v>
      </c>
      <c r="C50">
        <v>443.2</v>
      </c>
      <c r="D50">
        <v>-219.5</v>
      </c>
      <c r="E50" s="2">
        <v>1800.5</v>
      </c>
      <c r="F50" s="2">
        <v>2533.3000000000002</v>
      </c>
      <c r="G50" s="2">
        <v>2201.4</v>
      </c>
      <c r="H50" s="2">
        <v>3400</v>
      </c>
      <c r="I50">
        <v>697.6</v>
      </c>
      <c r="J50" s="2">
        <v>1621.9</v>
      </c>
      <c r="K50">
        <v>-699.6</v>
      </c>
      <c r="L50">
        <v>-531.9</v>
      </c>
    </row>
    <row r="51" spans="1:12" x14ac:dyDescent="0.25">
      <c r="A51" t="s">
        <v>31</v>
      </c>
      <c r="B51" s="2">
        <v>-2699.8</v>
      </c>
      <c r="C51" s="2">
        <v>-3796.1</v>
      </c>
      <c r="D51" s="2">
        <v>-2318.1</v>
      </c>
      <c r="E51" s="2">
        <v>10944.4</v>
      </c>
      <c r="F51" s="2">
        <v>-3673.6</v>
      </c>
      <c r="G51" s="2">
        <v>7060.2</v>
      </c>
      <c r="H51" s="2">
        <v>-2434.6999999999998</v>
      </c>
      <c r="I51">
        <v>150.4</v>
      </c>
      <c r="J51" s="2">
        <v>2927.8</v>
      </c>
      <c r="K51" s="2">
        <v>-3217.3</v>
      </c>
      <c r="L51" s="2">
        <v>3942.3</v>
      </c>
    </row>
    <row r="52" spans="1:12" x14ac:dyDescent="0.25">
      <c r="A52" t="s">
        <v>32</v>
      </c>
    </row>
    <row r="53" spans="1:12" x14ac:dyDescent="0.25">
      <c r="A53" t="s">
        <v>33</v>
      </c>
      <c r="B53" s="2">
        <v>4680.8</v>
      </c>
      <c r="C53" s="2">
        <v>3059.9</v>
      </c>
      <c r="D53" s="2">
        <v>2133.6</v>
      </c>
      <c r="E53" s="2">
        <v>1150</v>
      </c>
      <c r="F53">
        <v>-563.29999999999995</v>
      </c>
      <c r="G53">
        <v>851.2</v>
      </c>
      <c r="H53">
        <v>929.9</v>
      </c>
      <c r="I53" s="2">
        <v>2447.5</v>
      </c>
      <c r="J53">
        <v>-227.6</v>
      </c>
      <c r="K53" s="2">
        <v>1692.4</v>
      </c>
      <c r="L53" s="2">
        <v>1412</v>
      </c>
    </row>
    <row r="54" spans="1:12" x14ac:dyDescent="0.25">
      <c r="A54" t="s">
        <v>34</v>
      </c>
      <c r="B54" s="2">
        <v>1045</v>
      </c>
      <c r="C54">
        <v>-476.6</v>
      </c>
      <c r="D54">
        <v>325.10000000000002</v>
      </c>
      <c r="E54" s="2">
        <v>1360.4</v>
      </c>
      <c r="F54" s="2">
        <v>1259.2</v>
      </c>
      <c r="G54" s="2">
        <v>-1548.5</v>
      </c>
      <c r="H54">
        <v>-255.2</v>
      </c>
      <c r="I54">
        <v>71.599999999999994</v>
      </c>
      <c r="J54">
        <v>293.5</v>
      </c>
      <c r="K54" s="2">
        <v>1588.3</v>
      </c>
      <c r="L54" s="2">
        <v>1917</v>
      </c>
    </row>
    <row r="55" spans="1:12" x14ac:dyDescent="0.25">
      <c r="A55" t="s">
        <v>35</v>
      </c>
    </row>
    <row r="56" spans="1:12" x14ac:dyDescent="0.25">
      <c r="A56" t="s">
        <v>36</v>
      </c>
      <c r="B56">
        <v>54.1</v>
      </c>
      <c r="C56">
        <v>90.1</v>
      </c>
      <c r="D56">
        <v>110.2</v>
      </c>
      <c r="E56">
        <v>124.5</v>
      </c>
      <c r="F56">
        <v>102</v>
      </c>
      <c r="G56">
        <v>112.6</v>
      </c>
      <c r="H56">
        <v>210.4</v>
      </c>
      <c r="I56">
        <v>182.5</v>
      </c>
      <c r="J56">
        <v>145.69999999999999</v>
      </c>
      <c r="K56">
        <v>163.4</v>
      </c>
      <c r="L56">
        <v>177.1</v>
      </c>
    </row>
    <row r="57" spans="1:12" x14ac:dyDescent="0.25">
      <c r="A57" t="s">
        <v>37</v>
      </c>
      <c r="B57">
        <v>8.4</v>
      </c>
      <c r="C57">
        <v>9.4</v>
      </c>
      <c r="D57">
        <v>11</v>
      </c>
      <c r="E57">
        <v>17.7</v>
      </c>
      <c r="F57">
        <v>16.899999999999999</v>
      </c>
      <c r="G57">
        <v>17.5</v>
      </c>
      <c r="H57">
        <v>20.5</v>
      </c>
      <c r="I57">
        <v>22.3</v>
      </c>
      <c r="J57">
        <v>22.2</v>
      </c>
      <c r="K57">
        <v>29</v>
      </c>
      <c r="L57">
        <v>60</v>
      </c>
    </row>
    <row r="58" spans="1:12" x14ac:dyDescent="0.25">
      <c r="A58" t="s">
        <v>38</v>
      </c>
      <c r="B58">
        <v>2.7</v>
      </c>
      <c r="C58">
        <v>4.8</v>
      </c>
      <c r="D58">
        <v>12.8</v>
      </c>
      <c r="E58">
        <v>7.4</v>
      </c>
      <c r="F58">
        <v>8.5</v>
      </c>
      <c r="G58">
        <v>9.1999999999999993</v>
      </c>
      <c r="H58">
        <v>13.1</v>
      </c>
      <c r="I58">
        <v>15.1</v>
      </c>
      <c r="J58">
        <v>12</v>
      </c>
      <c r="K58">
        <v>15.4</v>
      </c>
      <c r="L58">
        <v>21.9</v>
      </c>
    </row>
    <row r="59" spans="1:12" x14ac:dyDescent="0.25">
      <c r="A59" t="s">
        <v>39</v>
      </c>
      <c r="B59">
        <v>27.1</v>
      </c>
      <c r="C59">
        <v>19.600000000000001</v>
      </c>
      <c r="D59">
        <v>14.9</v>
      </c>
      <c r="E59">
        <v>26.8</v>
      </c>
      <c r="F59">
        <v>19.899999999999999</v>
      </c>
      <c r="G59">
        <v>25.6</v>
      </c>
      <c r="H59">
        <v>21</v>
      </c>
      <c r="I59">
        <v>19.3</v>
      </c>
      <c r="J59">
        <v>20.9</v>
      </c>
      <c r="K59">
        <v>17.899999999999999</v>
      </c>
      <c r="L59">
        <v>20.399999999999999</v>
      </c>
    </row>
    <row r="60" spans="1:12" x14ac:dyDescent="0.25">
      <c r="A60" t="s">
        <v>40</v>
      </c>
      <c r="B60">
        <v>14.4</v>
      </c>
      <c r="C60">
        <v>16.600000000000001</v>
      </c>
      <c r="D60">
        <v>18</v>
      </c>
      <c r="E60">
        <v>15.6</v>
      </c>
      <c r="F60">
        <v>15.8</v>
      </c>
      <c r="G60">
        <v>15.4</v>
      </c>
      <c r="H60">
        <v>16.399999999999999</v>
      </c>
      <c r="I60">
        <v>15.9</v>
      </c>
      <c r="J60">
        <v>16.5</v>
      </c>
      <c r="K60">
        <v>20.6</v>
      </c>
      <c r="L60">
        <v>21.9</v>
      </c>
    </row>
    <row r="61" spans="1:12" x14ac:dyDescent="0.25">
      <c r="A61" t="s">
        <v>41</v>
      </c>
      <c r="B61">
        <v>73.400000000000006</v>
      </c>
      <c r="C61">
        <v>62.8</v>
      </c>
      <c r="D61">
        <v>62.3</v>
      </c>
      <c r="E61">
        <v>60.8</v>
      </c>
      <c r="F61">
        <v>61.7</v>
      </c>
      <c r="G61">
        <v>48.4</v>
      </c>
      <c r="H61">
        <v>43.1</v>
      </c>
      <c r="I61">
        <v>43.4</v>
      </c>
      <c r="J61">
        <v>35.700000000000003</v>
      </c>
      <c r="K61">
        <v>32.6</v>
      </c>
      <c r="L61">
        <v>37.200000000000003</v>
      </c>
    </row>
    <row r="62" spans="1:12" x14ac:dyDescent="0.25">
      <c r="A62" t="s">
        <v>42</v>
      </c>
      <c r="B62" s="2">
        <v>555021.69999999995</v>
      </c>
      <c r="C62" s="2">
        <v>480318.9</v>
      </c>
      <c r="D62" s="2">
        <v>398387.9</v>
      </c>
      <c r="E62" s="2">
        <v>367400.1</v>
      </c>
      <c r="F62" s="2">
        <v>410486.9</v>
      </c>
      <c r="G62" s="2">
        <v>465356.5</v>
      </c>
      <c r="H62" s="2">
        <v>427431.9</v>
      </c>
      <c r="I62" s="2">
        <v>432250.7</v>
      </c>
      <c r="J62" s="2">
        <v>464530.8</v>
      </c>
      <c r="K62" s="2">
        <v>352906.1</v>
      </c>
      <c r="L62" s="2">
        <v>181127.7</v>
      </c>
    </row>
    <row r="66" spans="1:1" x14ac:dyDescent="0.25">
      <c r="A66" t="s">
        <v>43</v>
      </c>
    </row>
    <row r="69" spans="1:1" x14ac:dyDescent="0.25">
      <c r="A69" s="4" t="s">
        <v>44</v>
      </c>
    </row>
    <row r="70" spans="1:1" x14ac:dyDescent="0.25">
      <c r="A70" s="4" t="s">
        <v>45</v>
      </c>
    </row>
    <row r="71" spans="1:1" x14ac:dyDescent="0.25">
      <c r="A71" s="4" t="s">
        <v>46</v>
      </c>
    </row>
    <row r="72" spans="1:1" x14ac:dyDescent="0.25">
      <c r="A72" s="4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Nigeria</vt:lpstr>
      <vt:lpstr>Pivot Table</vt:lpstr>
      <vt:lpstr>Dashboard</vt:lpstr>
      <vt:lpstr>Revised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Jahswill Diribey</dc:creator>
  <cp:lastModifiedBy>Jahswill Diribey</cp:lastModifiedBy>
  <dcterms:created xsi:type="dcterms:W3CDTF">2026-06-27T13:25:44Z</dcterms:created>
  <dcterms:modified xsi:type="dcterms:W3CDTF">2026-07-04T05:23:02Z</dcterms:modified>
</cp:coreProperties>
</file>